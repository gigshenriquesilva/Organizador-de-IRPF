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258" documentId="11_172E10FEBD75C789E9457BE69DDFEA39FF20938F" xr6:coauthVersionLast="47" xr6:coauthVersionMax="47" xr10:uidLastSave="{3736211C-EF1A-4095-BEC4-E454F158A199}"/>
  <bookViews>
    <workbookView xWindow="0" yWindow="0" windowWidth="16384" windowHeight="8192" tabRatio="500" firstSheet="1" activeTab="1" xr2:uid="{00000000-000D-0000-FFFF-FFFF00000000}"/>
  </bookViews>
  <sheets>
    <sheet name="TITULAR" sheetId="1" r:id="rId1"/>
    <sheet name="INFORMES" sheetId="2" r:id="rId2"/>
    <sheet name="GUIA" sheetId="3" r:id="rId3"/>
  </sheets>
  <definedNames>
    <definedName name="_xlnm._FilterDatabase" localSheetId="1" hidden="1">INFORMES!$C$7:$O$37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4" i="1" l="1"/>
  <c r="A5" i="2"/>
  <c r="A3" i="3"/>
  <c r="A3" i="1"/>
  <c r="A4" i="2"/>
  <c r="A5" i="1"/>
  <c r="A5" i="3"/>
  <c r="A3" i="2"/>
  <c r="A4" i="3"/>
  <c r="E16" i="1"/>
  <c r="E10" i="1"/>
  <c r="G25" i="3"/>
  <c r="F25" i="3"/>
  <c r="G24" i="3"/>
  <c r="F24" i="3"/>
  <c r="G23" i="3"/>
  <c r="F23" i="3"/>
  <c r="G22" i="3"/>
  <c r="F22" i="3"/>
  <c r="G21" i="3"/>
  <c r="F21" i="3"/>
  <c r="G20" i="3"/>
  <c r="F20" i="3"/>
  <c r="G19" i="3"/>
  <c r="F19" i="3"/>
  <c r="G18" i="3"/>
  <c r="F18" i="3"/>
  <c r="G17" i="3"/>
  <c r="F17" i="3"/>
  <c r="G16" i="3"/>
  <c r="G26" i="3" s="1"/>
  <c r="F16" i="3"/>
  <c r="F26" i="3" s="1"/>
  <c r="E5" i="3"/>
  <c r="D5" i="3"/>
  <c r="I38" i="2"/>
  <c r="H38" i="2"/>
  <c r="O37" i="2"/>
  <c r="N37" i="2"/>
  <c r="M37" i="2"/>
  <c r="L37" i="2"/>
  <c r="K37" i="2"/>
  <c r="C37" i="2"/>
  <c r="O36" i="2"/>
  <c r="N36" i="2"/>
  <c r="M36" i="2"/>
  <c r="L36" i="2"/>
  <c r="K36" i="2"/>
  <c r="C36" i="2"/>
  <c r="O35" i="2"/>
  <c r="N35" i="2"/>
  <c r="M35" i="2"/>
  <c r="L35" i="2"/>
  <c r="K35" i="2"/>
  <c r="C35" i="2"/>
  <c r="O34" i="2"/>
  <c r="N34" i="2"/>
  <c r="M34" i="2"/>
  <c r="L34" i="2"/>
  <c r="K34" i="2"/>
  <c r="C34" i="2"/>
  <c r="O33" i="2"/>
  <c r="N33" i="2"/>
  <c r="M33" i="2"/>
  <c r="L33" i="2"/>
  <c r="K33" i="2"/>
  <c r="C33" i="2"/>
  <c r="O32" i="2"/>
  <c r="N32" i="2"/>
  <c r="M32" i="2"/>
  <c r="L32" i="2"/>
  <c r="K32" i="2"/>
  <c r="C32" i="2"/>
  <c r="O31" i="2"/>
  <c r="N31" i="2"/>
  <c r="M31" i="2"/>
  <c r="L31" i="2"/>
  <c r="K31" i="2"/>
  <c r="C31" i="2"/>
  <c r="O30" i="2"/>
  <c r="N30" i="2"/>
  <c r="M30" i="2"/>
  <c r="L30" i="2"/>
  <c r="K30" i="2"/>
  <c r="C30" i="2"/>
  <c r="O29" i="2"/>
  <c r="N29" i="2"/>
  <c r="M29" i="2"/>
  <c r="L29" i="2"/>
  <c r="K29" i="2"/>
  <c r="C29" i="2"/>
  <c r="O28" i="2"/>
  <c r="N28" i="2"/>
  <c r="M28" i="2"/>
  <c r="L28" i="2"/>
  <c r="K28" i="2"/>
  <c r="C28" i="2"/>
  <c r="O27" i="2"/>
  <c r="N27" i="2"/>
  <c r="M27" i="2"/>
  <c r="L27" i="2"/>
  <c r="K27" i="2"/>
  <c r="C27" i="2"/>
  <c r="O26" i="2"/>
  <c r="N26" i="2"/>
  <c r="M26" i="2"/>
  <c r="L26" i="2"/>
  <c r="K26" i="2"/>
  <c r="C26" i="2"/>
  <c r="O25" i="2"/>
  <c r="N25" i="2"/>
  <c r="M25" i="2"/>
  <c r="L25" i="2"/>
  <c r="K25" i="2"/>
  <c r="C25" i="2"/>
  <c r="O24" i="2"/>
  <c r="N24" i="2"/>
  <c r="M24" i="2"/>
  <c r="L24" i="2"/>
  <c r="K24" i="2"/>
  <c r="C24" i="2"/>
  <c r="O23" i="2"/>
  <c r="N23" i="2"/>
  <c r="M23" i="2"/>
  <c r="L23" i="2"/>
  <c r="K23" i="2"/>
  <c r="C23" i="2"/>
  <c r="O22" i="2"/>
  <c r="N22" i="2"/>
  <c r="M22" i="2"/>
  <c r="L22" i="2"/>
  <c r="K22" i="2"/>
  <c r="C22" i="2"/>
  <c r="O21" i="2"/>
  <c r="N21" i="2"/>
  <c r="M21" i="2"/>
  <c r="L21" i="2"/>
  <c r="K21" i="2"/>
  <c r="C21" i="2"/>
  <c r="O20" i="2"/>
  <c r="N20" i="2"/>
  <c r="M20" i="2"/>
  <c r="L20" i="2"/>
  <c r="K20" i="2"/>
  <c r="C20" i="2"/>
  <c r="O19" i="2"/>
  <c r="N19" i="2"/>
  <c r="M19" i="2"/>
  <c r="L19" i="2"/>
  <c r="K19" i="2"/>
  <c r="C19" i="2"/>
  <c r="O18" i="2"/>
  <c r="N18" i="2"/>
  <c r="M18" i="2"/>
  <c r="L18" i="2"/>
  <c r="K18" i="2"/>
  <c r="C18" i="2"/>
  <c r="O17" i="2"/>
  <c r="N17" i="2"/>
  <c r="M17" i="2"/>
  <c r="L17" i="2"/>
  <c r="K17" i="2"/>
  <c r="C17" i="2"/>
  <c r="O16" i="2"/>
  <c r="N16" i="2"/>
  <c r="M16" i="2"/>
  <c r="L16" i="2"/>
  <c r="K16" i="2"/>
  <c r="C16" i="2"/>
  <c r="O15" i="2"/>
  <c r="N15" i="2"/>
  <c r="M15" i="2"/>
  <c r="L15" i="2"/>
  <c r="K15" i="2"/>
  <c r="C15" i="2"/>
  <c r="O14" i="2"/>
  <c r="N14" i="2"/>
  <c r="M14" i="2"/>
  <c r="L14" i="2"/>
  <c r="K14" i="2"/>
  <c r="C14" i="2"/>
  <c r="O13" i="2"/>
  <c r="N13" i="2"/>
  <c r="M13" i="2"/>
  <c r="L13" i="2"/>
  <c r="K13" i="2"/>
  <c r="C13" i="2"/>
  <c r="O12" i="2"/>
  <c r="N12" i="2"/>
  <c r="M12" i="2"/>
  <c r="L12" i="2"/>
  <c r="K12" i="2"/>
  <c r="C12" i="2"/>
  <c r="O11" i="2"/>
  <c r="N11" i="2"/>
  <c r="M11" i="2"/>
  <c r="L11" i="2"/>
  <c r="K11" i="2"/>
  <c r="C11" i="2"/>
  <c r="O10" i="2"/>
  <c r="N10" i="2"/>
  <c r="M10" i="2"/>
  <c r="L10" i="2"/>
  <c r="K10" i="2"/>
  <c r="C10" i="2"/>
  <c r="O9" i="2"/>
  <c r="N9" i="2"/>
  <c r="M9" i="2"/>
  <c r="L9" i="2"/>
  <c r="K9" i="2"/>
  <c r="C9" i="2"/>
  <c r="O8" i="2"/>
  <c r="A10" i="2" s="1"/>
  <c r="N8" i="2"/>
  <c r="M8" i="2"/>
  <c r="L8" i="2"/>
  <c r="K8" i="2"/>
  <c r="C8" i="2"/>
  <c r="G4" i="2"/>
  <c r="F4" i="2"/>
  <c r="E4" i="2"/>
  <c r="H4" i="2" s="1"/>
  <c r="E29" i="1"/>
  <c r="E28" i="1"/>
  <c r="E27" i="1"/>
  <c r="E26" i="1"/>
  <c r="E25" i="1"/>
  <c r="E24" i="1"/>
  <c r="E21" i="1"/>
  <c r="E20" i="1"/>
  <c r="E19" i="1"/>
  <c r="E18" i="1"/>
  <c r="E17" i="1"/>
  <c r="E13" i="1"/>
  <c r="E12" i="1"/>
  <c r="E11" i="1"/>
  <c r="A11" i="1"/>
  <c r="F10" i="1"/>
  <c r="A10" i="1"/>
  <c r="F9" i="1"/>
  <c r="E9" i="1"/>
  <c r="E8" i="1"/>
  <c r="A9" i="2" s="1"/>
  <c r="A11" i="3" l="1"/>
  <c r="A11" i="2"/>
  <c r="A9" i="3"/>
  <c r="A9" i="1"/>
  <c r="A10" i="3"/>
</calcChain>
</file>

<file path=xl/sharedStrings.xml><?xml version="1.0" encoding="utf-8"?>
<sst xmlns="http://schemas.openxmlformats.org/spreadsheetml/2006/main" count="155" uniqueCount="130">
  <si>
    <r>
      <rPr>
        <b/>
        <sz val="20"/>
        <color rgb="FFFFFFFF"/>
        <rFont val="Arial"/>
        <charset val="1"/>
      </rPr>
      <t xml:space="preserve">Gigs </t>
    </r>
    <r>
      <rPr>
        <b/>
        <sz val="20"/>
        <color rgb="FF34D399"/>
        <rFont val="Arial"/>
        <charset val="1"/>
      </rPr>
      <t>IRPF</t>
    </r>
  </si>
  <si>
    <t>1. DADOS DO TITULAR</t>
  </si>
  <si>
    <t>organizador do imposto de renda</t>
  </si>
  <si>
    <t>Preencha os campos amarelos. A coluna STATUS avisa o que está pendente ou inválido.</t>
  </si>
  <si>
    <t>IDENTIFICAÇÃO</t>
  </si>
  <si>
    <t>PROGRESSO</t>
  </si>
  <si>
    <t>NOME COMPLETO</t>
  </si>
  <si>
    <t>Maria Exemplo da Silva</t>
  </si>
  <si>
    <t>CPF</t>
  </si>
  <si>
    <t>DATA DE NASCIMENTO</t>
  </si>
  <si>
    <t>TÍTULO DE ELEITOR</t>
  </si>
  <si>
    <t>ESTADO CIVIL</t>
  </si>
  <si>
    <t>Casado(a)</t>
  </si>
  <si>
    <t>CÔNJUGE</t>
  </si>
  <si>
    <t>João Exemplo da Silva</t>
  </si>
  <si>
    <t>CONTATO E ENDEREÇO</t>
  </si>
  <si>
    <t>CEP</t>
  </si>
  <si>
    <t>ENDEREÇO</t>
  </si>
  <si>
    <t>Rua das Flores, 100, apto 12</t>
  </si>
  <si>
    <t>CIDADE</t>
  </si>
  <si>
    <t>Rio de Janeiro</t>
  </si>
  <si>
    <t>UF</t>
  </si>
  <si>
    <t>RJ</t>
  </si>
  <si>
    <t>CELULAR</t>
  </si>
  <si>
    <t>E-MAIL</t>
  </si>
  <si>
    <t>maria.exemplo@email.com</t>
  </si>
  <si>
    <t>QUESTIONÁRIO (SIM / NÃO)</t>
  </si>
  <si>
    <t>DECLAROU NO ANO ANTERIOR?</t>
  </si>
  <si>
    <t>Sim</t>
  </si>
  <si>
    <t>MUDOU DE ENDEREÇO?</t>
  </si>
  <si>
    <t>Não</t>
  </si>
  <si>
    <t>POSSUI DEPENDENTES?</t>
  </si>
  <si>
    <t>Nº DE DEPENDENTES</t>
  </si>
  <si>
    <t>RESIDE NO EXTERIOR?</t>
  </si>
  <si>
    <t>RECEBEU RENDA DO EXTERIOR?</t>
  </si>
  <si>
    <t>Os dados desta aba são fictícios, só de exemplo !</t>
  </si>
  <si>
    <t>Cônjuge e Nº de dependentes só são cobrados quando fazem sentido (viram cinza quando não se aplicam).</t>
  </si>
  <si>
    <r>
      <rPr>
        <b/>
        <sz val="11"/>
        <color rgb="FFFFFFFF"/>
        <rFont val="Arial"/>
      </rPr>
      <t xml:space="preserve">Gigs </t>
    </r>
    <r>
      <rPr>
        <b/>
        <sz val="26"/>
        <color rgb="FF366092"/>
        <rFont val="Arial"/>
      </rPr>
      <t>IRPF</t>
    </r>
  </si>
  <si>
    <t>2. INFORMES DE RENDIMENTOS</t>
  </si>
  <si>
    <t>Um informe por linha. Tipo, ficha, competência e status se preenchem sozinhos. Use as setas do cabeçalho para filtrar.</t>
  </si>
  <si>
    <t>ANO-BASE</t>
  </si>
  <si>
    <t>TOTAL RECEBIDO</t>
  </si>
  <si>
    <t>IR RETIDO</t>
  </si>
  <si>
    <t>SEM COMPROVANTE</t>
  </si>
  <si>
    <t>% RETIDO</t>
  </si>
  <si>
    <t>Nº</t>
  </si>
  <si>
    <t>Data do recebimento</t>
  </si>
  <si>
    <t>Fonte pagadora</t>
  </si>
  <si>
    <t>CNPJ da fonte</t>
  </si>
  <si>
    <t>Tipo de rendimento</t>
  </si>
  <si>
    <t>Valor (R$)</t>
  </si>
  <si>
    <t>IR retido (R$)</t>
  </si>
  <si>
    <t>Comprovante?</t>
  </si>
  <si>
    <t>Competência</t>
  </si>
  <si>
    <t>Ficha do IRPF</t>
  </si>
  <si>
    <t>Tributação</t>
  </si>
  <si>
    <t>Dias desde receb.</t>
  </si>
  <si>
    <t>Status</t>
  </si>
  <si>
    <t>Empresa Exemplo Ltda</t>
  </si>
  <si>
    <t>Salário / Pró-labore</t>
  </si>
  <si>
    <t>Banco Exemplo S.A.</t>
  </si>
  <si>
    <t>Poupança / LCI / LCA</t>
  </si>
  <si>
    <t>Corretora Exemplo</t>
  </si>
  <si>
    <t>Renda fixa (CDB / Tesouro)</t>
  </si>
  <si>
    <t>TOTAL (respeita os filtros)</t>
  </si>
  <si>
    <t>LEGENDA</t>
  </si>
  <si>
    <t>Amarelo = você preenche · Branco = calculado (Competência, Ficha, Tributação, Dias, Status).</t>
  </si>
  <si>
    <t>As 3 primeiras linhas são exemplos fictícios: apague e use as suas. Há espaço para 30 informes.</t>
  </si>
  <si>
    <t>Status acusa: dados faltando, IR maior que o valor, data fora do ano-base e comprovante pendente.</t>
  </si>
  <si>
    <t>3. GUIA, LINKS E PRAZOS</t>
  </si>
  <si>
    <t>PRAZO DE ENTREGA (edite a data)</t>
  </si>
  <si>
    <t>FALTAM</t>
  </si>
  <si>
    <t>CHECKLIST</t>
  </si>
  <si>
    <t>LINKS RÁPIDOS (clique para abrir)</t>
  </si>
  <si>
    <t>Meu Imposto de Renda (Receita)</t>
  </si>
  <si>
    <t>Programa, calendário e orientações oficiais</t>
  </si>
  <si>
    <t>e-CAC (Receita Federal)</t>
  </si>
  <si>
    <t>Declaração pré-preenchida, pendências e extrato</t>
  </si>
  <si>
    <t>Consulta de restituição</t>
  </si>
  <si>
    <t>Veja em qual lote sua restituição entrou</t>
  </si>
  <si>
    <t>Consulta de CNPJ</t>
  </si>
  <si>
    <t>Confira o CNPJ das fontes pagadoras</t>
  </si>
  <si>
    <t>Situação cadastral do CPF</t>
  </si>
  <si>
    <t>Garanta que o CPF está regular</t>
  </si>
  <si>
    <t>TIPOS DE RENDIMENTO → FICHA DO IRPF</t>
  </si>
  <si>
    <t>Ficha do IRPF onde entra</t>
  </si>
  <si>
    <t>Qtd. informes</t>
  </si>
  <si>
    <t>Total (R$)</t>
  </si>
  <si>
    <t>Rendimentos Tributáveis Recebidos de Pessoa Jurídica</t>
  </si>
  <si>
    <t>Tributável (tabela progressiva)</t>
  </si>
  <si>
    <t>Autônomo / Serviços (PF)</t>
  </si>
  <si>
    <t>Rendimentos Tributáveis Recebidos de PF / Exterior</t>
  </si>
  <si>
    <t>Tributável (Carnê-Leão)</t>
  </si>
  <si>
    <t>Aluguel recebido (PF)</t>
  </si>
  <si>
    <t>13º salário</t>
  </si>
  <si>
    <t>Rendimentos Sujeitos à Tributação Exclusiva/Definitiva</t>
  </si>
  <si>
    <t>Exclusiva na fonte</t>
  </si>
  <si>
    <t>Rendimentos Isentos e Não Tributáveis</t>
  </si>
  <si>
    <t>Isento</t>
  </si>
  <si>
    <t>Fundos imobiliários (FII)</t>
  </si>
  <si>
    <t>Isento (se cumprir as regras)</t>
  </si>
  <si>
    <t>Lucros e dividendos</t>
  </si>
  <si>
    <t>Confira as regras do ano</t>
  </si>
  <si>
    <t>Bolsa de valores (ações)</t>
  </si>
  <si>
    <t>Renda Variável</t>
  </si>
  <si>
    <t>Definitiva (DARF)</t>
  </si>
  <si>
    <t>Outros</t>
  </si>
  <si>
    <t>Verificar a ficha adequada</t>
  </si>
  <si>
    <t>Verificar</t>
  </si>
  <si>
    <t>TOTAL</t>
  </si>
  <si>
    <t>CHECKLIST DE DOCUMENTOS (SIM / NÃO)</t>
  </si>
  <si>
    <t>Documento</t>
  </si>
  <si>
    <t>Onde conseguir / dica</t>
  </si>
  <si>
    <t>Tenho em mãos?</t>
  </si>
  <si>
    <t>Informe de rendimentos do empregador</t>
  </si>
  <si>
    <t>RH da empresa ou contracheque de dezembro</t>
  </si>
  <si>
    <t>Informe de rendimentos bancário</t>
  </si>
  <si>
    <t>App ou internet banking</t>
  </si>
  <si>
    <t>Informe da corretora / investimentos</t>
  </si>
  <si>
    <t>Área do investidor da corretora</t>
  </si>
  <si>
    <t>Recibos de despesas médicas</t>
  </si>
  <si>
    <t>Guarde recibos com CPF/CNPJ do profissional</t>
  </si>
  <si>
    <t>Despesas com educação</t>
  </si>
  <si>
    <t>Boletos e recibos da instituição</t>
  </si>
  <si>
    <t>Previdência privada (PGBL)</t>
  </si>
  <si>
    <t>Informe do banco ou da seguradora</t>
  </si>
  <si>
    <t>Dados dos dependentes (CPF e nascimento)</t>
  </si>
  <si>
    <t>Documentos dos dependentes</t>
  </si>
  <si>
    <t>Recibo da declaração do ano anterior</t>
  </si>
  <si>
    <t>Útil para importar dados no programa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</si>
</sst>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\.000\.000\-00"/>
    <numFmt numFmtId="165" formatCode="0000\ 0000\ 0000"/>
    <numFmt numFmtId="166" formatCode="00000\-000"/>
    <numFmt numFmtId="167" formatCode="\(00&quot;) &quot;00000\-0000"/>
    <numFmt numFmtId="168" formatCode="&quot;R$ &quot;#,##0.00"/>
    <numFmt numFmtId="169" formatCode="0.0%"/>
    <numFmt numFmtId="170" formatCode="00\.000\.000\/0000\-00"/>
    <numFmt numFmtId="171" formatCode="0&quot; d&quot;"/>
  </numFmts>
  <fonts count="32">
    <font>
      <sz val="10"/>
      <name val="Arial"/>
      <charset val="1"/>
    </font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b/>
      <sz val="20"/>
      <color rgb="FF34D399"/>
      <name val="Arial"/>
      <charset val="1"/>
    </font>
    <font>
      <b/>
      <sz val="18"/>
      <color rgb="FF0F172A"/>
      <name val="Arial"/>
      <charset val="1"/>
    </font>
    <font>
      <i/>
      <sz val="8"/>
      <color rgb="FF94A3B8"/>
      <name val="Arial"/>
      <charset val="1"/>
    </font>
    <font>
      <i/>
      <sz val="9"/>
      <color rgb="FF64748B"/>
      <name val="Arial"/>
      <charset val="1"/>
    </font>
    <font>
      <b/>
      <sz val="8"/>
      <color rgb="FF64748B"/>
      <name val="Arial"/>
      <charset val="1"/>
    </font>
    <font>
      <b/>
      <sz val="14"/>
      <color rgb="FF0F172A"/>
      <name val="Arial"/>
      <charset val="1"/>
    </font>
    <font>
      <sz val="10"/>
      <color rgb="FFE2E8F0"/>
      <name val="Arial"/>
      <charset val="1"/>
    </font>
    <font>
      <b/>
      <sz val="10"/>
      <color rgb="FFFFFFFF"/>
      <name val="Arial"/>
      <charset val="1"/>
    </font>
    <font>
      <b/>
      <sz val="8"/>
      <color rgb="FF94A3B8"/>
      <name val="Arial"/>
      <charset val="1"/>
    </font>
    <font>
      <b/>
      <sz val="9"/>
      <color rgb="FF334155"/>
      <name val="Arial"/>
      <charset val="1"/>
    </font>
    <font>
      <sz val="10"/>
      <color rgb="FF0000FF"/>
      <name val="Arial"/>
      <charset val="1"/>
    </font>
    <font>
      <b/>
      <sz val="9"/>
      <color rgb="FF1E293B"/>
      <name val="Arial"/>
      <charset val="1"/>
    </font>
    <font>
      <i/>
      <sz val="10"/>
      <color rgb="FF64748B"/>
      <name val="Arial"/>
      <charset val="1"/>
    </font>
    <font>
      <b/>
      <sz val="9"/>
      <color rgb="FF64748B"/>
      <name val="Arial"/>
      <charset val="1"/>
    </font>
    <font>
      <sz val="9"/>
      <color rgb="FF64748B"/>
      <name val="Arial"/>
      <charset val="1"/>
    </font>
    <font>
      <sz val="10"/>
      <color rgb="FF1E293B"/>
      <name val="Arial"/>
      <charset val="1"/>
    </font>
    <font>
      <b/>
      <sz val="10"/>
      <color rgb="FF1E293B"/>
      <name val="Arial"/>
      <charset val="1"/>
    </font>
    <font>
      <i/>
      <sz val="8"/>
      <color rgb="FF64748B"/>
      <name val="Arial"/>
      <charset val="1"/>
    </font>
    <font>
      <u/>
      <sz val="10"/>
      <color theme="10"/>
      <name val="Arial"/>
      <charset val="1"/>
    </font>
    <font>
      <sz val="10"/>
      <color theme="1"/>
      <name val="Arial"/>
      <charset val="1"/>
    </font>
    <font>
      <i/>
      <sz val="9"/>
      <color theme="1" tint="0.499984740745262"/>
      <name val="Arial"/>
      <charset val="1"/>
    </font>
    <font>
      <b/>
      <sz val="14"/>
      <color theme="3" tint="-0.249977111117893"/>
      <name val="Arial"/>
      <charset val="1"/>
    </font>
    <font>
      <b/>
      <u/>
      <sz val="10"/>
      <color theme="3" tint="-0.249977111117893"/>
      <name val="Arial"/>
      <charset val="1"/>
    </font>
    <font>
      <sz val="10"/>
      <color theme="3" tint="-0.249977111117893"/>
      <name val="Arial"/>
      <charset val="1"/>
    </font>
    <font>
      <b/>
      <sz val="10"/>
      <color theme="0"/>
      <name val="Arial"/>
      <charset val="1"/>
    </font>
    <font>
      <b/>
      <sz val="10"/>
      <color theme="4" tint="-0.249977111117893"/>
      <name val="Arial"/>
      <charset val="1"/>
    </font>
    <font>
      <b/>
      <sz val="11"/>
      <color rgb="FFFFFFFF"/>
      <name val="Arial"/>
    </font>
    <font>
      <b/>
      <sz val="26"/>
      <color rgb="FF366092"/>
      <name val="Arial"/>
    </font>
    <font>
      <b/>
      <sz val="20"/>
      <color rgb="FFFFFFFF"/>
      <name val="Arial"/>
    </font>
  </fonts>
  <fills count="14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10B981"/>
        <bgColor rgb="FF34D399"/>
      </patternFill>
    </fill>
    <fill>
      <patternFill patternType="solid">
        <fgColor rgb="FFF1F5F9"/>
        <bgColor rgb="FFFFFFFF"/>
      </patternFill>
    </fill>
    <fill>
      <patternFill patternType="solid">
        <fgColor rgb="FF1E293B"/>
        <bgColor rgb="FF0F172A"/>
      </patternFill>
    </fill>
    <fill>
      <patternFill patternType="solid">
        <fgColor rgb="FF047857"/>
        <bgColor rgb="FF065F46"/>
      </patternFill>
    </fill>
    <fill>
      <patternFill patternType="solid">
        <fgColor rgb="FFFFF7D6"/>
        <bgColor rgb="FFF1F5F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34D399"/>
        <bgColor indexed="64"/>
      </patternFill>
    </fill>
  </fills>
  <borders count="8">
    <border>
      <left/>
      <right/>
      <top/>
      <bottom/>
      <diagonal/>
    </border>
    <border>
      <left style="thick">
        <color rgb="FF0F172A"/>
      </left>
      <right style="thick">
        <color rgb="FF0F172A"/>
      </right>
      <top style="medium">
        <color rgb="FF0F172A"/>
      </top>
      <bottom style="medium">
        <color rgb="FF0F172A"/>
      </bottom>
      <diagonal/>
    </border>
    <border>
      <left/>
      <right/>
      <top/>
      <bottom style="medium">
        <color rgb="FF10B98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76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top"/>
    </xf>
    <xf numFmtId="0" fontId="6" fillId="0" borderId="0" xfId="0" applyFont="1" applyAlignment="1">
      <alignment vertical="top"/>
    </xf>
    <xf numFmtId="0" fontId="7" fillId="4" borderId="0" xfId="0" applyFont="1" applyFill="1" applyAlignment="1">
      <alignment horizontal="left" indent="1"/>
    </xf>
    <xf numFmtId="0" fontId="8" fillId="4" borderId="0" xfId="0" applyFont="1" applyFill="1" applyAlignment="1">
      <alignment horizontal="left" vertical="center" indent="1"/>
    </xf>
    <xf numFmtId="0" fontId="1" fillId="0" borderId="2" xfId="0" applyFont="1" applyBorder="1"/>
    <xf numFmtId="0" fontId="9" fillId="2" borderId="0" xfId="0" applyFont="1" applyFill="1"/>
    <xf numFmtId="0" fontId="10" fillId="6" borderId="0" xfId="0" applyFont="1" applyFill="1" applyAlignment="1">
      <alignment vertical="center" indent="1"/>
    </xf>
    <xf numFmtId="0" fontId="10" fillId="6" borderId="0" xfId="0" applyFont="1" applyFill="1"/>
    <xf numFmtId="0" fontId="11" fillId="2" borderId="0" xfId="0" applyFont="1" applyFill="1" applyAlignment="1">
      <alignment horizontal="center"/>
    </xf>
    <xf numFmtId="0" fontId="12" fillId="0" borderId="0" xfId="0" applyFont="1" applyAlignment="1">
      <alignment horizontal="right" vertical="center" indent="1"/>
    </xf>
    <xf numFmtId="0" fontId="14" fillId="0" borderId="3" xfId="0" applyFont="1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15" fillId="0" borderId="0" xfId="0" applyFont="1" applyAlignment="1">
      <alignment horizontal="left" vertical="center" indent="1"/>
    </xf>
    <xf numFmtId="0" fontId="13" fillId="7" borderId="3" xfId="0" applyFont="1" applyFill="1" applyBorder="1" applyAlignment="1">
      <alignment horizontal="center" vertical="center"/>
    </xf>
    <xf numFmtId="0" fontId="16" fillId="0" borderId="0" xfId="0" applyFont="1"/>
    <xf numFmtId="0" fontId="6" fillId="0" borderId="0" xfId="0" applyFont="1"/>
    <xf numFmtId="168" fontId="8" fillId="4" borderId="0" xfId="0" applyNumberFormat="1" applyFont="1" applyFill="1" applyAlignment="1">
      <alignment horizontal="left" vertical="center" indent="1"/>
    </xf>
    <xf numFmtId="1" fontId="8" fillId="4" borderId="0" xfId="0" applyNumberFormat="1" applyFont="1" applyFill="1" applyAlignment="1">
      <alignment horizontal="left" vertical="center" indent="1"/>
    </xf>
    <xf numFmtId="169" fontId="8" fillId="4" borderId="0" xfId="0" applyNumberFormat="1" applyFont="1" applyFill="1" applyAlignment="1">
      <alignment horizontal="left" vertical="center" indent="1"/>
    </xf>
    <xf numFmtId="0" fontId="10" fillId="5" borderId="3" xfId="0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left" vertical="center" indent="1"/>
    </xf>
    <xf numFmtId="0" fontId="12" fillId="4" borderId="0" xfId="0" applyFont="1" applyFill="1" applyAlignment="1">
      <alignment horizontal="right" vertical="center" indent="1"/>
    </xf>
    <xf numFmtId="168" fontId="19" fillId="4" borderId="3" xfId="0" applyNumberFormat="1" applyFont="1" applyFill="1" applyBorder="1" applyAlignment="1">
      <alignment horizontal="right" vertical="center" indent="1"/>
    </xf>
    <xf numFmtId="0" fontId="6" fillId="0" borderId="4" xfId="0" applyFont="1" applyBorder="1" applyAlignment="1">
      <alignment vertical="center" indent="1"/>
    </xf>
    <xf numFmtId="1" fontId="18" fillId="0" borderId="3" xfId="0" applyNumberFormat="1" applyFont="1" applyBorder="1" applyAlignment="1">
      <alignment horizontal="center" vertical="center"/>
    </xf>
    <xf numFmtId="168" fontId="18" fillId="0" borderId="3" xfId="0" applyNumberFormat="1" applyFont="1" applyBorder="1" applyAlignment="1">
      <alignment horizontal="right" vertical="center" indent="1"/>
    </xf>
    <xf numFmtId="1" fontId="19" fillId="4" borderId="3" xfId="0" applyNumberFormat="1" applyFont="1" applyFill="1" applyBorder="1" applyAlignment="1">
      <alignment horizontal="center" vertical="center"/>
    </xf>
    <xf numFmtId="0" fontId="20" fillId="0" borderId="0" xfId="0" applyFont="1"/>
    <xf numFmtId="0" fontId="18" fillId="0" borderId="3" xfId="0" applyFont="1" applyBorder="1" applyAlignment="1">
      <alignment vertical="center" indent="1"/>
    </xf>
    <xf numFmtId="0" fontId="4" fillId="0" borderId="5" xfId="0" applyFont="1" applyBorder="1" applyAlignment="1"/>
    <xf numFmtId="0" fontId="0" fillId="0" borderId="5" xfId="0" applyBorder="1" applyAlignment="1"/>
    <xf numFmtId="0" fontId="22" fillId="8" borderId="3" xfId="0" applyFont="1" applyFill="1" applyBorder="1" applyAlignment="1">
      <alignment horizontal="right" vertical="center" indent="1"/>
    </xf>
    <xf numFmtId="164" fontId="22" fillId="8" borderId="3" xfId="0" applyNumberFormat="1" applyFont="1" applyFill="1" applyBorder="1" applyAlignment="1">
      <alignment horizontal="right" vertical="center"/>
    </xf>
    <xf numFmtId="14" fontId="22" fillId="8" borderId="3" xfId="0" applyNumberFormat="1" applyFont="1" applyFill="1" applyBorder="1" applyAlignment="1">
      <alignment horizontal="right" vertical="center"/>
    </xf>
    <xf numFmtId="165" fontId="22" fillId="8" borderId="3" xfId="0" applyNumberFormat="1" applyFont="1" applyFill="1" applyBorder="1" applyAlignment="1">
      <alignment horizontal="right" vertical="center"/>
    </xf>
    <xf numFmtId="166" fontId="22" fillId="8" borderId="3" xfId="0" applyNumberFormat="1" applyFont="1" applyFill="1" applyBorder="1" applyAlignment="1">
      <alignment horizontal="right" vertical="center"/>
    </xf>
    <xf numFmtId="0" fontId="22" fillId="8" borderId="3" xfId="0" applyFont="1" applyFill="1" applyBorder="1" applyAlignment="1">
      <alignment horizontal="right" vertical="center"/>
    </xf>
    <xf numFmtId="167" fontId="22" fillId="8" borderId="3" xfId="0" applyNumberFormat="1" applyFont="1" applyFill="1" applyBorder="1" applyAlignment="1">
      <alignment horizontal="right" vertical="center"/>
    </xf>
    <xf numFmtId="9" fontId="8" fillId="9" borderId="0" xfId="0" applyNumberFormat="1" applyFont="1" applyFill="1" applyAlignment="1">
      <alignment horizontal="left" vertical="center" indent="1"/>
    </xf>
    <xf numFmtId="0" fontId="8" fillId="9" borderId="0" xfId="0" applyFont="1" applyFill="1" applyAlignment="1">
      <alignment horizontal="left" vertical="center" indent="1"/>
    </xf>
    <xf numFmtId="0" fontId="22" fillId="10" borderId="3" xfId="0" applyFont="1" applyFill="1" applyBorder="1" applyAlignment="1">
      <alignment horizontal="left" vertical="center" indent="1"/>
    </xf>
    <xf numFmtId="0" fontId="13" fillId="9" borderId="3" xfId="0" applyFont="1" applyFill="1" applyBorder="1" applyAlignment="1">
      <alignment horizontal="center" vertical="center"/>
    </xf>
    <xf numFmtId="0" fontId="23" fillId="0" borderId="3" xfId="0" applyFont="1" applyBorder="1" applyAlignment="1">
      <alignment vertical="center" indent="1"/>
    </xf>
    <xf numFmtId="0" fontId="4" fillId="0" borderId="6" xfId="0" applyFont="1" applyBorder="1" applyAlignment="1">
      <alignment vertical="center"/>
    </xf>
    <xf numFmtId="0" fontId="0" fillId="0" borderId="6" xfId="0" applyBorder="1"/>
    <xf numFmtId="14" fontId="24" fillId="9" borderId="3" xfId="0" applyNumberFormat="1" applyFont="1" applyFill="1" applyBorder="1" applyAlignment="1">
      <alignment horizontal="left" vertical="center" indent="1"/>
    </xf>
    <xf numFmtId="0" fontId="19" fillId="5" borderId="3" xfId="0" applyFont="1" applyFill="1" applyBorder="1" applyAlignment="1">
      <alignment horizontal="center" vertical="center" wrapText="1"/>
    </xf>
    <xf numFmtId="0" fontId="25" fillId="0" borderId="4" xfId="0" applyFont="1" applyBorder="1" applyAlignment="1">
      <alignment vertical="center" indent="1"/>
    </xf>
    <xf numFmtId="0" fontId="26" fillId="9" borderId="3" xfId="0" applyFont="1" applyFill="1" applyBorder="1" applyAlignment="1">
      <alignment horizontal="left" vertical="center" indent="1"/>
    </xf>
    <xf numFmtId="0" fontId="10" fillId="5" borderId="3" xfId="0" applyFont="1" applyFill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/>
    </xf>
    <xf numFmtId="14" fontId="26" fillId="9" borderId="3" xfId="0" applyNumberFormat="1" applyFont="1" applyFill="1" applyBorder="1" applyAlignment="1">
      <alignment horizontal="left" vertical="center"/>
    </xf>
    <xf numFmtId="170" fontId="26" fillId="9" borderId="3" xfId="0" applyNumberFormat="1" applyFont="1" applyFill="1" applyBorder="1" applyAlignment="1">
      <alignment horizontal="left" vertical="center"/>
    </xf>
    <xf numFmtId="168" fontId="26" fillId="9" borderId="3" xfId="0" applyNumberFormat="1" applyFont="1" applyFill="1" applyBorder="1" applyAlignment="1">
      <alignment horizontal="left" vertical="center"/>
    </xf>
    <xf numFmtId="0" fontId="13" fillId="9" borderId="3" xfId="0" applyFont="1" applyFill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171" fontId="18" fillId="0" borderId="3" xfId="0" applyNumberFormat="1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1" fontId="24" fillId="9" borderId="3" xfId="0" applyNumberFormat="1" applyFont="1" applyFill="1" applyBorder="1" applyAlignment="1">
      <alignment horizontal="left" vertical="center" indent="1"/>
    </xf>
    <xf numFmtId="0" fontId="21" fillId="12" borderId="1" xfId="1" applyFill="1" applyBorder="1" applyAlignment="1">
      <alignment horizontal="center" vertical="center"/>
    </xf>
    <xf numFmtId="0" fontId="27" fillId="3" borderId="1" xfId="1" applyFont="1" applyFill="1" applyBorder="1" applyAlignment="1">
      <alignment horizontal="center" vertical="center"/>
    </xf>
    <xf numFmtId="0" fontId="27" fillId="12" borderId="1" xfId="1" applyFont="1" applyFill="1" applyBorder="1" applyAlignment="1">
      <alignment horizontal="center" vertical="center"/>
    </xf>
    <xf numFmtId="1" fontId="28" fillId="9" borderId="3" xfId="0" applyNumberFormat="1" applyFont="1" applyFill="1" applyBorder="1" applyAlignment="1">
      <alignment horizontal="center" vertical="center"/>
    </xf>
    <xf numFmtId="0" fontId="0" fillId="9" borderId="0" xfId="0" applyFill="1"/>
    <xf numFmtId="0" fontId="27" fillId="13" borderId="1" xfId="1" applyFont="1" applyFill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0" fillId="0" borderId="7" xfId="0" applyBorder="1"/>
    <xf numFmtId="0" fontId="6" fillId="0" borderId="0" xfId="0" applyFont="1" applyAlignment="1"/>
    <xf numFmtId="0" fontId="0" fillId="0" borderId="0" xfId="0" applyAlignment="1"/>
    <xf numFmtId="0" fontId="7" fillId="9" borderId="0" xfId="0" applyFont="1" applyFill="1" applyBorder="1" applyAlignment="1">
      <alignment horizontal="left" indent="1"/>
    </xf>
    <xf numFmtId="0" fontId="8" fillId="9" borderId="0" xfId="0" applyFont="1" applyFill="1" applyBorder="1" applyAlignment="1">
      <alignment horizontal="left" vertical="center" indent="1"/>
    </xf>
    <xf numFmtId="0" fontId="0" fillId="11" borderId="0" xfId="0" applyFill="1" applyAlignment="1">
      <alignment horizontal="center"/>
    </xf>
    <xf numFmtId="0" fontId="31" fillId="2" borderId="0" xfId="0" applyFont="1" applyFill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22"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475569"/>
        <name val="Arial"/>
        <charset val="1"/>
      </font>
      <fill>
        <patternFill>
          <bgColor rgb="FFE2E8F0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475569"/>
        <name val="Arial"/>
        <charset val="1"/>
      </font>
      <fill>
        <patternFill>
          <bgColor rgb="FFE2E8F0"/>
        </patternFill>
      </fill>
    </dxf>
    <dxf>
      <font>
        <b/>
        <color rgb="FF065F46"/>
        <name val="Arial"/>
        <charset val="1"/>
      </font>
      <fill>
        <patternFill>
          <bgColor rgb="FFD1FAE5"/>
        </patternFill>
      </fill>
    </dxf>
    <dxf>
      <font>
        <color rgb="FF94A3B8"/>
        <name val="Arial"/>
        <charset val="1"/>
      </font>
      <fill>
        <patternFill>
          <bgColor rgb="FFE2E8F0"/>
        </patternFill>
      </fill>
    </dxf>
    <dxf>
      <font>
        <color rgb="FF94A3B8"/>
        <name val="Arial"/>
        <charset val="1"/>
      </font>
      <fill>
        <patternFill>
          <bgColor rgb="FFE2E8F0"/>
        </patternFill>
      </fill>
    </dxf>
    <dxf>
      <font>
        <b/>
        <color rgb="FF64748B"/>
        <name val="Arial"/>
        <charset val="1"/>
      </font>
      <fill>
        <patternFill>
          <bgColor rgb="FFE2E8F0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47857"/>
      <rgbColor rgb="FFE2E8F0"/>
      <rgbColor rgb="FF808080"/>
      <rgbColor rgb="FF9999FF"/>
      <rgbColor rgb="FF993366"/>
      <rgbColor rgb="FFFFF7D6"/>
      <rgbColor rgb="FFC6EFCE"/>
      <rgbColor rgb="FF660066"/>
      <rgbColor rgb="FFFF8080"/>
      <rgbColor rgb="FF1D4ED8"/>
      <rgbColor rgb="FFCBD5E1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F1F5F9"/>
      <rgbColor rgb="FFD1FAE5"/>
      <rgbColor rgb="FFFFEB9C"/>
      <rgbColor rgb="FF99CCFF"/>
      <rgbColor rgb="FFFF99CC"/>
      <rgbColor rgb="FFCC99FF"/>
      <rgbColor rgb="FFFFC7CE"/>
      <rgbColor rgb="FF3B82F6"/>
      <rgbColor rgb="FF34D399"/>
      <rgbColor rgb="FF99CC00"/>
      <rgbColor rgb="FFFFCC00"/>
      <rgbColor rgb="FFF59E0B"/>
      <rgbColor rgb="FFFF6600"/>
      <rgbColor rgb="FF64748B"/>
      <rgbColor rgb="FF94A3B8"/>
      <rgbColor rgb="FF003366"/>
      <rgbColor rgb="FF10B981"/>
      <rgbColor rgb="FF0F172A"/>
      <rgbColor rgb="FF475569"/>
      <rgbColor rgb="FF9C5700"/>
      <rgbColor rgb="FF993366"/>
      <rgbColor rgb="FF334155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4D399"/>
      <color rgb="FF0F172A"/>
      <color rgb="FF97C7D8"/>
      <color rgb="FF1E293B"/>
      <color rgb="FFF1F5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estituicao.receita.fazenda.gov.br/" TargetMode="External"/><Relationship Id="rId2" Type="http://schemas.openxmlformats.org/officeDocument/2006/relationships/hyperlink" Target="https://cav.receita.fazenda.gov.br/" TargetMode="External"/><Relationship Id="rId1" Type="http://schemas.openxmlformats.org/officeDocument/2006/relationships/hyperlink" Target="https://www.gov.br/receitafederal/pt-br/assuntos/meu-imposto-de-renda" TargetMode="External"/><Relationship Id="rId5" Type="http://schemas.openxmlformats.org/officeDocument/2006/relationships/hyperlink" Target="https://servicos.receita.fazenda.gov.br/servicos/cpf/consultasituacao/consultapublica.asp" TargetMode="External"/><Relationship Id="rId4" Type="http://schemas.openxmlformats.org/officeDocument/2006/relationships/hyperlink" Target="https://solucoes.receita.fazenda.gov.br/servicos/cnpjreva/cnpjreva_solicitacao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0B981"/>
    <pageSetUpPr fitToPage="1"/>
  </sheetPr>
  <dimension ref="A1:J150"/>
  <sheetViews>
    <sheetView showGridLines="0" zoomScaleNormal="100" workbookViewId="0">
      <pane xSplit="1" topLeftCell="B1" activePane="topRight" state="frozen"/>
      <selection pane="topRight" activeCell="A4" sqref="A4"/>
      <selection activeCell="A6" sqref="A6"/>
    </sheetView>
  </sheetViews>
  <sheetFormatPr defaultColWidth="8.7109375" defaultRowHeight="15"/>
  <cols>
    <col min="1" max="1" width="26" style="1" customWidth="1"/>
    <col min="2" max="2" width="2" customWidth="1"/>
    <col min="3" max="3" width="32" customWidth="1"/>
    <col min="4" max="4" width="36" customWidth="1"/>
    <col min="5" max="5" width="14" customWidth="1"/>
    <col min="6" max="6" width="38" customWidth="1"/>
    <col min="7" max="7" width="3" customWidth="1"/>
  </cols>
  <sheetData>
    <row r="1" spans="1:6" ht="39.75" customHeight="1">
      <c r="A1" s="2" t="s">
        <v>0</v>
      </c>
      <c r="C1" s="32" t="s">
        <v>1</v>
      </c>
      <c r="D1" s="33"/>
    </row>
    <row r="2" spans="1:6" ht="19.5" customHeight="1">
      <c r="A2" s="3" t="s">
        <v>2</v>
      </c>
    </row>
    <row r="3" spans="1:6" ht="27.75" customHeight="1">
      <c r="A3" s="63" t="str">
        <f>HYPERLINK("#TITULAR!D8","TITULAR")</f>
        <v>TITULAR</v>
      </c>
      <c r="C3" s="4" t="s">
        <v>3</v>
      </c>
      <c r="E3" s="72"/>
      <c r="F3" s="72"/>
    </row>
    <row r="4" spans="1:6" ht="27.75" customHeight="1">
      <c r="A4" s="62" t="str">
        <f>HYPERLINK("#INFORMES!D8","INFORMES")</f>
        <v>INFORMES</v>
      </c>
      <c r="C4" s="41"/>
      <c r="D4" s="42"/>
      <c r="E4" s="73"/>
      <c r="F4" s="73"/>
    </row>
    <row r="5" spans="1:6" ht="27.75" customHeight="1">
      <c r="A5" s="64" t="str">
        <f>HYPERLINK("#GUIA!C8","GUIA &amp; LINKS")</f>
        <v>GUIA &amp; LINKS</v>
      </c>
      <c r="C5" s="7"/>
      <c r="D5" s="7"/>
      <c r="E5" s="7"/>
      <c r="F5" s="7"/>
    </row>
    <row r="6" spans="1:6" ht="7.5" customHeight="1">
      <c r="A6" s="8"/>
    </row>
    <row r="7" spans="1:6" ht="21.75" customHeight="1">
      <c r="A7" s="8"/>
      <c r="C7" s="9" t="s">
        <v>4</v>
      </c>
      <c r="D7" s="10"/>
      <c r="E7" s="10"/>
      <c r="F7" s="10"/>
    </row>
    <row r="8" spans="1:6" ht="21.75" customHeight="1">
      <c r="A8" s="11" t="s">
        <v>5</v>
      </c>
      <c r="C8" s="12" t="s">
        <v>6</v>
      </c>
      <c r="D8" s="34" t="s">
        <v>7</v>
      </c>
      <c r="E8" s="13" t="str">
        <f>IF(D8="","Pendente",IF(ISNUMBER(FIND(" ",TRIM(D8))),"OK","Inválido"))</f>
        <v>OK</v>
      </c>
    </row>
    <row r="9" spans="1:6" ht="21.75" customHeight="1">
      <c r="A9" s="14" t="str">
        <f ca="1">"Titular: "&amp;TEXT(IFERROR(COUNTIF(TITULAR!$E$8:$E$29,"OK")/(COUNTIF(TITULAR!$E$8:$E$29,"OK")+COUNTIF(TITULAR!$E$8:$E$29,"Pendente")+COUNTIF(TITULAR!$E$8:$E$29,"Inválido")),0),"0%")</f>
        <v>Titular: 100%</v>
      </c>
      <c r="C9" s="12" t="s">
        <v>8</v>
      </c>
      <c r="D9" s="35">
        <v>52998224725</v>
      </c>
      <c r="E9" s="13" t="str">
        <f>IF(D9="","Pendente",IF(ISNUMBER(D9),IF(IFERROR(AND(D9&lt;=99999999999,VALUE(MID(TEXT(D9,"00000000000"),10,1))=MOD(MOD(SUMPRODUCT(--MID(TEXT(D9,"00000000000"),{1,2,3,4,5,6,7,8,9},1),{10,9,8,7,6,5,4,3,2})*10,11),10),VALUE(MID(TEXT(D9,"00000000000"),11,1))=MOD(MOD(SUMPRODUCT(--MID(TEXT(D9,"00000000000"),{1,2,3,4,5,6,7,8,9,10},1),{11,10,9,8,7,6,5,4,3,2})*10,11),10),TEXT(D9,"00000000000")&lt;&gt;REPT(LEFT(TEXT(D9,"00000000000"),1),11)),FALSE()),"OK","Inválido"),"Inválido"))</f>
        <v>OK</v>
      </c>
      <c r="F9" s="15" t="str">
        <f>IF(AND(ISNUMBER(D9),D9&lt;=99999999999),"***.***.***-"&amp;RIGHT(TEXT(D9,"00000000000"),2),"")</f>
        <v>***.***.***-25</v>
      </c>
    </row>
    <row r="10" spans="1:6" ht="21.75" customHeight="1">
      <c r="A10" s="14" t="str">
        <f>"Informes: "&amp;COUNTIF(INFORMES!O8:O37,"OK")&amp;" de "&amp;COUNTA(INFORMES!E8:E37)&amp;" ok"</f>
        <v>Informes: 2 de 3 ok</v>
      </c>
      <c r="C10" s="12" t="s">
        <v>9</v>
      </c>
      <c r="D10" s="36">
        <v>37023</v>
      </c>
      <c r="E10" s="13" t="str">
        <f ca="1">IF(D10="","Pendente",IF(AND(ISNUMBER(D10),D10&lt;=TODAY()),"OK","Inválido"))</f>
        <v>OK</v>
      </c>
      <c r="F10" s="15" t="str">
        <f ca="1">IF(AND(ISNUMBER(D10),D10&lt;=TODAY()),DATEDIF(D10,TODAY(),"Y")&amp;" anos e "&amp;DATEDIF(D10,TODAY(),"YM")&amp;" meses","")</f>
        <v>25 anos e 4 meses</v>
      </c>
    </row>
    <row r="11" spans="1:6" ht="21.75" customHeight="1">
      <c r="A11" s="14" t="str">
        <f>"Checklist: "&amp;GUIA!E5</f>
        <v>Checklist: 2 de 8</v>
      </c>
      <c r="C11" s="12" t="s">
        <v>10</v>
      </c>
      <c r="D11" s="37">
        <v>123456789012</v>
      </c>
      <c r="E11" s="13" t="str">
        <f>IF(D11="","—","OK")</f>
        <v>OK</v>
      </c>
    </row>
    <row r="12" spans="1:6" ht="21.75" customHeight="1">
      <c r="A12" s="8"/>
      <c r="C12" s="12" t="s">
        <v>11</v>
      </c>
      <c r="D12" s="34" t="s">
        <v>12</v>
      </c>
      <c r="E12" s="13" t="str">
        <f>IF(D12="","Pendente","OK")</f>
        <v>OK</v>
      </c>
    </row>
    <row r="13" spans="1:6" ht="21.75" customHeight="1">
      <c r="A13" s="8"/>
      <c r="C13" s="12" t="s">
        <v>13</v>
      </c>
      <c r="D13" s="34" t="s">
        <v>14</v>
      </c>
      <c r="E13" s="13" t="str">
        <f>IF(OR(D12="Casado(a)",D12="União estável"),IF(D13="","Pendente","OK"),"—")</f>
        <v>OK</v>
      </c>
    </row>
    <row r="14" spans="1:6" ht="21.75" customHeight="1">
      <c r="A14" s="8"/>
    </row>
    <row r="15" spans="1:6" ht="21.75" customHeight="1">
      <c r="A15" s="8"/>
      <c r="C15" s="9" t="s">
        <v>15</v>
      </c>
      <c r="D15" s="10"/>
      <c r="E15" s="10"/>
      <c r="F15" s="10"/>
    </row>
    <row r="16" spans="1:6" ht="21.75" customHeight="1">
      <c r="A16" s="8"/>
      <c r="C16" s="12" t="s">
        <v>16</v>
      </c>
      <c r="D16" s="38">
        <v>25211280</v>
      </c>
      <c r="E16" s="13" t="str">
        <f>IF(D16="","Pendente",IF(AND(ISNUMBER(D16),D16&gt;=1000000,D16&lt;=99999999),"OK","Inválido"))</f>
        <v>OK</v>
      </c>
      <c r="F16" s="15"/>
    </row>
    <row r="17" spans="1:10" ht="21.75" customHeight="1">
      <c r="A17" s="8"/>
      <c r="C17" s="12" t="s">
        <v>17</v>
      </c>
      <c r="D17" s="34" t="s">
        <v>18</v>
      </c>
      <c r="E17" s="13" t="str">
        <f>IF(D17="","Pendente","OK")</f>
        <v>OK</v>
      </c>
    </row>
    <row r="18" spans="1:10" ht="21.75" customHeight="1">
      <c r="A18" s="8"/>
      <c r="C18" s="12" t="s">
        <v>19</v>
      </c>
      <c r="D18" s="34" t="s">
        <v>20</v>
      </c>
      <c r="E18" s="13" t="str">
        <f>IF(D18="","Pendente","OK")</f>
        <v>OK</v>
      </c>
    </row>
    <row r="19" spans="1:10" ht="21.75" customHeight="1">
      <c r="A19" s="8"/>
      <c r="C19" s="12" t="s">
        <v>21</v>
      </c>
      <c r="D19" s="39" t="s">
        <v>22</v>
      </c>
      <c r="E19" s="13" t="str">
        <f>IF(D19="","Pendente","OK")</f>
        <v>OK</v>
      </c>
    </row>
    <row r="20" spans="1:10" ht="21.75" customHeight="1">
      <c r="A20" s="8"/>
      <c r="C20" s="12" t="s">
        <v>23</v>
      </c>
      <c r="D20" s="40">
        <v>21900000000</v>
      </c>
      <c r="E20" s="13" t="str">
        <f>IF(D20="","Pendente",IF(AND(ISNUMBER(D20),D20&gt;=10000000000,D20&lt;=99999999999),"OK","Inválido"))</f>
        <v>OK</v>
      </c>
      <c r="F20" s="15"/>
    </row>
    <row r="21" spans="1:10" ht="21.75" customHeight="1">
      <c r="A21" s="8"/>
      <c r="C21" s="12" t="s">
        <v>24</v>
      </c>
      <c r="D21" s="34" t="s">
        <v>25</v>
      </c>
      <c r="E21" s="13" t="str">
        <f>IF(D21="","Pendente",IF(AND(ISNUMBER(FIND("@",D21)),FIND("@",D21)&gt;1,ISNUMBER(FIND(".",D21,FIND("@",D21))),ISERROR(FIND(" ",D21))),"OK","Inválido"))</f>
        <v>OK</v>
      </c>
      <c r="F21" s="15"/>
    </row>
    <row r="22" spans="1:10" ht="21.75" customHeight="1">
      <c r="A22" s="8"/>
    </row>
    <row r="23" spans="1:10" ht="21.75" customHeight="1">
      <c r="A23" s="8"/>
      <c r="C23" s="9" t="s">
        <v>26</v>
      </c>
      <c r="D23" s="10"/>
      <c r="E23" s="10"/>
      <c r="F23" s="10"/>
    </row>
    <row r="24" spans="1:10" ht="21.75" customHeight="1">
      <c r="A24" s="8"/>
      <c r="C24" s="12" t="s">
        <v>27</v>
      </c>
      <c r="D24" s="44" t="s">
        <v>28</v>
      </c>
      <c r="E24" s="13" t="str">
        <f>IF(D24="","Pendente","OK")</f>
        <v>OK</v>
      </c>
    </row>
    <row r="25" spans="1:10" ht="21.75" customHeight="1">
      <c r="A25" s="8"/>
      <c r="C25" s="12" t="s">
        <v>29</v>
      </c>
      <c r="D25" s="44" t="s">
        <v>30</v>
      </c>
      <c r="E25" s="13" t="str">
        <f>IF(D25="","Pendente","OK")</f>
        <v>OK</v>
      </c>
    </row>
    <row r="26" spans="1:10" ht="21.75" customHeight="1">
      <c r="A26" s="8"/>
      <c r="C26" s="12" t="s">
        <v>31</v>
      </c>
      <c r="D26" s="44" t="s">
        <v>28</v>
      </c>
      <c r="E26" s="13" t="str">
        <f>IF(D26="","Pendente","OK")</f>
        <v>OK</v>
      </c>
    </row>
    <row r="27" spans="1:10" ht="21.75" customHeight="1">
      <c r="A27" s="8"/>
      <c r="C27" s="12" t="s">
        <v>32</v>
      </c>
      <c r="D27" s="65">
        <v>2</v>
      </c>
      <c r="E27" s="13" t="str">
        <f>IF(D26="Sim",IF(D27="","Pendente","OK"),"—")</f>
        <v>OK</v>
      </c>
    </row>
    <row r="28" spans="1:10" ht="21.75" customHeight="1">
      <c r="A28" s="8"/>
      <c r="C28" s="12" t="s">
        <v>33</v>
      </c>
      <c r="D28" s="44" t="s">
        <v>30</v>
      </c>
      <c r="E28" s="13" t="str">
        <f>IF(D28="","Pendente","OK")</f>
        <v>OK</v>
      </c>
    </row>
    <row r="29" spans="1:10" ht="21.75" customHeight="1">
      <c r="A29" s="8"/>
      <c r="C29" s="12" t="s">
        <v>34</v>
      </c>
      <c r="D29" s="44" t="s">
        <v>30</v>
      </c>
      <c r="E29" s="13" t="str">
        <f>IF(D29="","Pendente","OK")</f>
        <v>OK</v>
      </c>
    </row>
    <row r="30" spans="1:10" ht="21.75" customHeight="1">
      <c r="A30" s="8"/>
    </row>
    <row r="31" spans="1:10" ht="21.75" customHeight="1">
      <c r="A31" s="8"/>
      <c r="C31" s="17"/>
    </row>
    <row r="32" spans="1:10" ht="21.75" customHeight="1">
      <c r="A32" s="8"/>
      <c r="C32" s="18"/>
      <c r="J32" s="66"/>
    </row>
    <row r="33" spans="1:3" ht="21.75" customHeight="1">
      <c r="A33" s="8"/>
      <c r="C33" s="18" t="s">
        <v>35</v>
      </c>
    </row>
    <row r="34" spans="1:3" ht="21.75" customHeight="1">
      <c r="A34" s="8"/>
      <c r="C34" s="18" t="s">
        <v>36</v>
      </c>
    </row>
    <row r="35" spans="1:3" ht="21.75" customHeight="1">
      <c r="A35" s="8"/>
    </row>
    <row r="36" spans="1:3" ht="21.75" customHeight="1">
      <c r="A36" s="8"/>
    </row>
    <row r="37" spans="1:3" ht="21.75" customHeight="1">
      <c r="A37" s="8"/>
    </row>
    <row r="38" spans="1:3" ht="21.75" customHeight="1">
      <c r="A38" s="8"/>
    </row>
    <row r="39" spans="1:3" ht="21.75" customHeight="1">
      <c r="A39" s="8"/>
    </row>
    <row r="40" spans="1:3" ht="21.75" customHeight="1">
      <c r="A40" s="8"/>
    </row>
    <row r="41" spans="1:3" ht="21.75" customHeight="1">
      <c r="A41" s="8"/>
    </row>
    <row r="42" spans="1:3" ht="21.75" customHeight="1">
      <c r="A42" s="8"/>
    </row>
    <row r="43" spans="1:3" ht="21.75" customHeight="1">
      <c r="A43" s="8"/>
    </row>
    <row r="44" spans="1:3" ht="21.75" customHeight="1">
      <c r="A44" s="8"/>
    </row>
    <row r="45" spans="1:3">
      <c r="A45" s="8"/>
    </row>
    <row r="46" spans="1:3">
      <c r="A46" s="8"/>
    </row>
    <row r="47" spans="1:3">
      <c r="A47" s="8"/>
    </row>
    <row r="48" spans="1:3">
      <c r="A48" s="8"/>
    </row>
    <row r="49" spans="1:1">
      <c r="A49" s="8"/>
    </row>
    <row r="50" spans="1:1">
      <c r="A50" s="8"/>
    </row>
    <row r="51" spans="1:1">
      <c r="A51" s="8"/>
    </row>
    <row r="52" spans="1:1">
      <c r="A52" s="8"/>
    </row>
    <row r="53" spans="1:1">
      <c r="A53" s="8"/>
    </row>
    <row r="54" spans="1:1">
      <c r="A54" s="8"/>
    </row>
    <row r="55" spans="1:1">
      <c r="A55" s="8"/>
    </row>
    <row r="56" spans="1:1">
      <c r="A56" s="8"/>
    </row>
    <row r="57" spans="1:1">
      <c r="A57" s="8"/>
    </row>
    <row r="58" spans="1:1">
      <c r="A58" s="8"/>
    </row>
    <row r="59" spans="1:1">
      <c r="A59" s="8"/>
    </row>
    <row r="60" spans="1:1">
      <c r="A60" s="8"/>
    </row>
    <row r="61" spans="1:1">
      <c r="A61" s="8"/>
    </row>
    <row r="62" spans="1:1">
      <c r="A62" s="8"/>
    </row>
    <row r="63" spans="1:1">
      <c r="A63" s="8"/>
    </row>
    <row r="64" spans="1:1">
      <c r="A64" s="8"/>
    </row>
    <row r="65" spans="1:1">
      <c r="A65" s="8"/>
    </row>
    <row r="66" spans="1:1">
      <c r="A66" s="8"/>
    </row>
    <row r="67" spans="1:1">
      <c r="A67" s="8"/>
    </row>
    <row r="68" spans="1:1">
      <c r="A68" s="8"/>
    </row>
    <row r="69" spans="1:1">
      <c r="A69" s="8"/>
    </row>
    <row r="70" spans="1:1">
      <c r="A70" s="8"/>
    </row>
    <row r="71" spans="1:1">
      <c r="A71" s="8"/>
    </row>
    <row r="72" spans="1:1">
      <c r="A72" s="8"/>
    </row>
    <row r="73" spans="1:1">
      <c r="A73" s="8"/>
    </row>
    <row r="74" spans="1:1">
      <c r="A74" s="8"/>
    </row>
    <row r="75" spans="1:1">
      <c r="A75" s="8"/>
    </row>
    <row r="76" spans="1:1">
      <c r="A76" s="8"/>
    </row>
    <row r="77" spans="1:1">
      <c r="A77" s="8"/>
    </row>
    <row r="78" spans="1:1">
      <c r="A78" s="8"/>
    </row>
    <row r="79" spans="1:1">
      <c r="A79" s="8"/>
    </row>
    <row r="80" spans="1:1">
      <c r="A80" s="8"/>
    </row>
    <row r="81" spans="1:1">
      <c r="A81" s="8"/>
    </row>
    <row r="82" spans="1:1">
      <c r="A82" s="8"/>
    </row>
    <row r="83" spans="1:1">
      <c r="A83" s="8"/>
    </row>
    <row r="84" spans="1:1">
      <c r="A84" s="8"/>
    </row>
    <row r="85" spans="1:1">
      <c r="A85" s="8"/>
    </row>
    <row r="86" spans="1:1">
      <c r="A86" s="8"/>
    </row>
    <row r="87" spans="1:1">
      <c r="A87" s="8"/>
    </row>
    <row r="88" spans="1:1">
      <c r="A88" s="8"/>
    </row>
    <row r="89" spans="1:1">
      <c r="A89" s="8"/>
    </row>
    <row r="90" spans="1:1">
      <c r="A90" s="8"/>
    </row>
    <row r="91" spans="1:1">
      <c r="A91" s="8"/>
    </row>
    <row r="92" spans="1:1">
      <c r="A92" s="8"/>
    </row>
    <row r="93" spans="1:1">
      <c r="A93" s="8"/>
    </row>
    <row r="94" spans="1:1">
      <c r="A94" s="8"/>
    </row>
    <row r="95" spans="1:1">
      <c r="A95" s="8"/>
    </row>
    <row r="96" spans="1:1">
      <c r="A96" s="8"/>
    </row>
    <row r="97" spans="1:1">
      <c r="A97" s="8"/>
    </row>
    <row r="98" spans="1:1">
      <c r="A98" s="8"/>
    </row>
    <row r="99" spans="1:1">
      <c r="A99" s="8"/>
    </row>
    <row r="100" spans="1:1">
      <c r="A100" s="8"/>
    </row>
    <row r="101" spans="1:1">
      <c r="A101" s="8"/>
    </row>
    <row r="102" spans="1:1">
      <c r="A102" s="8"/>
    </row>
    <row r="103" spans="1:1">
      <c r="A103" s="8"/>
    </row>
    <row r="104" spans="1:1">
      <c r="A104" s="8"/>
    </row>
    <row r="105" spans="1:1">
      <c r="A105" s="8"/>
    </row>
    <row r="106" spans="1:1">
      <c r="A106" s="8"/>
    </row>
    <row r="107" spans="1:1">
      <c r="A107" s="8"/>
    </row>
    <row r="108" spans="1:1">
      <c r="A108" s="8"/>
    </row>
    <row r="109" spans="1:1">
      <c r="A109" s="8"/>
    </row>
    <row r="110" spans="1:1">
      <c r="A110" s="8"/>
    </row>
    <row r="111" spans="1:1">
      <c r="A111" s="8"/>
    </row>
    <row r="112" spans="1:1">
      <c r="A112" s="8"/>
    </row>
    <row r="113" spans="1:1">
      <c r="A113" s="8"/>
    </row>
    <row r="114" spans="1:1">
      <c r="A114" s="8"/>
    </row>
    <row r="115" spans="1:1">
      <c r="A115" s="8"/>
    </row>
    <row r="116" spans="1:1">
      <c r="A116" s="8"/>
    </row>
    <row r="117" spans="1:1">
      <c r="A117" s="8"/>
    </row>
    <row r="118" spans="1:1">
      <c r="A118" s="8"/>
    </row>
    <row r="119" spans="1:1">
      <c r="A119" s="8"/>
    </row>
    <row r="120" spans="1:1">
      <c r="A120" s="8"/>
    </row>
    <row r="121" spans="1:1">
      <c r="A121" s="8"/>
    </row>
    <row r="122" spans="1:1">
      <c r="A122" s="8"/>
    </row>
    <row r="123" spans="1:1">
      <c r="A123" s="8"/>
    </row>
    <row r="124" spans="1:1">
      <c r="A124" s="8"/>
    </row>
    <row r="125" spans="1:1">
      <c r="A125" s="8"/>
    </row>
    <row r="126" spans="1:1">
      <c r="A126" s="8"/>
    </row>
    <row r="127" spans="1:1">
      <c r="A127" s="8"/>
    </row>
    <row r="128" spans="1:1">
      <c r="A128" s="8"/>
    </row>
    <row r="129" spans="1:1">
      <c r="A129" s="8"/>
    </row>
    <row r="130" spans="1:1">
      <c r="A130" s="8"/>
    </row>
    <row r="131" spans="1:1">
      <c r="A131" s="8"/>
    </row>
    <row r="132" spans="1:1">
      <c r="A132" s="8"/>
    </row>
    <row r="133" spans="1:1">
      <c r="A133" s="8"/>
    </row>
    <row r="134" spans="1:1">
      <c r="A134" s="8"/>
    </row>
    <row r="135" spans="1:1">
      <c r="A135" s="8"/>
    </row>
    <row r="136" spans="1:1">
      <c r="A136" s="8"/>
    </row>
    <row r="137" spans="1:1">
      <c r="A137" s="8"/>
    </row>
    <row r="138" spans="1:1">
      <c r="A138" s="8"/>
    </row>
    <row r="139" spans="1:1">
      <c r="A139" s="8"/>
    </row>
    <row r="140" spans="1:1">
      <c r="A140" s="8"/>
    </row>
    <row r="141" spans="1:1">
      <c r="A141" s="8"/>
    </row>
    <row r="142" spans="1:1">
      <c r="A142" s="8"/>
    </row>
    <row r="143" spans="1:1">
      <c r="A143" s="8"/>
    </row>
    <row r="144" spans="1:1">
      <c r="A144" s="8"/>
    </row>
    <row r="145" spans="1:1">
      <c r="A145" s="8"/>
    </row>
    <row r="146" spans="1:1">
      <c r="A146" s="8"/>
    </row>
    <row r="147" spans="1:1">
      <c r="A147" s="8"/>
    </row>
    <row r="148" spans="1:1">
      <c r="A148" s="8"/>
    </row>
    <row r="149" spans="1:1">
      <c r="A149" s="8"/>
    </row>
    <row r="150" spans="1:1">
      <c r="A150" s="8"/>
    </row>
  </sheetData>
  <mergeCells count="2">
    <mergeCell ref="E3:F3"/>
    <mergeCell ref="E4:F4"/>
  </mergeCells>
  <conditionalFormatting sqref="E8:E29">
    <cfRule type="expression" dxfId="21" priority="2">
      <formula>E8="OK"</formula>
    </cfRule>
    <cfRule type="expression" dxfId="20" priority="3">
      <formula>E8="Pendente"</formula>
    </cfRule>
    <cfRule type="expression" dxfId="19" priority="4">
      <formula>E8="Inválido"</formula>
    </cfRule>
    <cfRule type="expression" dxfId="18" priority="5">
      <formula>E8="—"</formula>
    </cfRule>
  </conditionalFormatting>
  <conditionalFormatting sqref="D13">
    <cfRule type="expression" dxfId="17" priority="6">
      <formula>AND($D$12&lt;&gt;"Casado(a)",$D$12&lt;&gt;"União estável")</formula>
    </cfRule>
  </conditionalFormatting>
  <conditionalFormatting sqref="D27">
    <cfRule type="expression" dxfId="16" priority="7">
      <formula>$D$26&lt;&gt;"Sim"</formula>
    </cfRule>
  </conditionalFormatting>
  <conditionalFormatting sqref="D24:D29">
    <cfRule type="expression" dxfId="15" priority="8">
      <formula>D24="Sim"</formula>
    </cfRule>
    <cfRule type="expression" dxfId="14" priority="9">
      <formula>D24="Não"</formula>
    </cfRule>
  </conditionalFormatting>
  <dataValidations count="11">
    <dataValidation type="textLength" operator="greaterThanOrEqual" allowBlank="1" showInputMessage="1" showErrorMessage="1" errorTitle="Nome" error="Digite o nome completo." promptTitle="Nome completo" prompt="Nome e sobrenome, como no CPF." sqref="D8" xr:uid="{00000000-0002-0000-0000-000000000000}">
      <formula1>5</formula1>
      <formula2>0</formula2>
    </dataValidation>
    <dataValidation type="whole" allowBlank="1" showInputMessage="1" showErrorMessage="1" errorTitle="CPF" error="Digite só os 11 números do CPF (sem pontos nem traço)." promptTitle="CPF" prompt="Só números. A máscara 000.000.000-00 é automática." sqref="D9" xr:uid="{00000000-0002-0000-0000-000001000000}">
      <formula1>1</formula1>
      <formula2>99999999999</formula2>
    </dataValidation>
    <dataValidation type="date" allowBlank="1" showInputMessage="1" showErrorMessage="1" errorTitle="Data" error="Digite uma data válida (dd/mm/aaaa)." promptTitle="Nascimento" prompt="Formato dd/mm/aaaa." sqref="D10" xr:uid="{00000000-0002-0000-0000-000002000000}">
      <formula1>1</formula1>
      <formula2>73050</formula2>
    </dataValidation>
    <dataValidation type="whole" allowBlank="1" showErrorMessage="1" errorTitle="Título" error="Digite só números (12 dígitos)." sqref="D11" xr:uid="{00000000-0002-0000-0000-000003000000}">
      <formula1>1</formula1>
      <formula2>999999999999</formula2>
    </dataValidation>
    <dataValidation type="list" allowBlank="1" showErrorMessage="1" errorTitle="Estado civil" error="Escolha uma opção da lista." sqref="D12" xr:uid="{00000000-0002-0000-0000-000004000000}">
      <formula1>"Solteiro(a),Casado(a),União estável,Separado(a),Divorciado(a),Viúvo(a)"</formula1>
      <formula2>0</formula2>
    </dataValidation>
    <dataValidation type="whole" allowBlank="1" showInputMessage="1" showErrorMessage="1" errorTitle="CEP" error="Digite os 8 números do CEP (sem traço)." promptTitle="CEP" prompt="Só números. A máscara 00000-000 é automática." sqref="D16" xr:uid="{00000000-0002-0000-0000-000005000000}">
      <formula1>1000000</formula1>
      <formula2>99999999</formula2>
    </dataValidation>
    <dataValidation type="list" allowBlank="1" showErrorMessage="1" errorTitle="UF" error="Escolha a UF na lista." sqref="D19" xr:uid="{00000000-0002-0000-0000-000006000000}">
      <formula1>"AC,AL,AP,AM,BA,CE,DF,ES,GO,MA,MT,MS,MG,PA,PB,PR,PE,PI,RJ,RN,RS,RO,RR,SC,SP,SE,TO"</formula1>
      <formula2>0</formula2>
    </dataValidation>
    <dataValidation type="whole" allowBlank="1" showInputMessage="1" showErrorMessage="1" errorTitle="Celular" error="Digite DDD + 9 dígitos, só números. Ex.: 21900000000" promptTitle="Celular" prompt="DDD + número, só números. Vira (21) 90000-0000." sqref="D20" xr:uid="{00000000-0002-0000-0000-000007000000}">
      <formula1>10000000000</formula1>
      <formula2>99999999999</formula2>
    </dataValidation>
    <dataValidation type="custom" allowBlank="1" showInputMessage="1" showErrorMessage="1" errorTitle="E-mail" error="Digite um e-mail válido, ex.: nome@dominio.com" promptTitle="E-mail" prompt="Ex.: nome@dominio.com" sqref="D21" xr:uid="{00000000-0002-0000-0000-000008000000}">
      <formula1>AND(ISNUMBER(FIND("@",D21)),FIND("@",D21)&gt;1,ISNUMBER(FIND(".",D21,FIND("@",D21))),ISERROR(FIND(" ",D21)))</formula1>
      <formula2>0</formula2>
    </dataValidation>
    <dataValidation type="list" allowBlank="1" showInputMessage="1" showErrorMessage="1" errorTitle="Valor inválido" error="Escolha Sim ou Não na lista." promptTitle="Sim ou Não" prompt="Clique na seta e escolha Sim ou Não." sqref="D24:D26 D28:D29" xr:uid="{00000000-0002-0000-0000-000009000000}">
      <formula1>"Sim,Não"</formula1>
      <formula2>0</formula2>
    </dataValidation>
    <dataValidation type="whole" allowBlank="1" showErrorMessage="1" errorTitle="Dependentes" error="Digite um número de 0 a 30." sqref="D27" xr:uid="{00000000-0002-0000-0000-00000B000000}">
      <formula1>0</formula1>
      <formula2>30</formula2>
    </dataValidation>
  </dataValidations>
  <hyperlinks>
    <hyperlink ref="A3" location="'TITULAR'!D8" display="TITULAR" xr:uid="{E704FCE5-BE3B-4C45-A13C-C85985F7CFDC}"/>
    <hyperlink ref="A4" location="INFORMES!" display="INFORMES!" xr:uid="{24D60276-D641-4E81-BD49-5631FC19A711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B82F6"/>
    <pageSetUpPr fitToPage="1"/>
  </sheetPr>
  <dimension ref="A1:O150"/>
  <sheetViews>
    <sheetView showGridLines="0" tabSelected="1" zoomScaleNormal="100" workbookViewId="0">
      <pane xSplit="1" topLeftCell="B1" activePane="topRight" state="frozen"/>
      <selection pane="topRight" activeCell="A8" sqref="A8"/>
      <selection activeCell="A8" sqref="A8"/>
    </sheetView>
  </sheetViews>
  <sheetFormatPr defaultColWidth="8.7109375" defaultRowHeight="15"/>
  <cols>
    <col min="1" max="1" width="26" style="1" customWidth="1"/>
    <col min="2" max="2" width="2" customWidth="1"/>
    <col min="3" max="3" width="6" customWidth="1"/>
    <col min="4" max="4" width="15" customWidth="1"/>
    <col min="5" max="5" width="28" customWidth="1"/>
    <col min="6" max="6" width="22" customWidth="1"/>
    <col min="7" max="7" width="28" customWidth="1"/>
    <col min="8" max="9" width="16" customWidth="1"/>
    <col min="10" max="10" width="15" customWidth="1"/>
    <col min="11" max="11" width="14" customWidth="1"/>
    <col min="12" max="12" width="48" customWidth="1"/>
    <col min="13" max="13" width="32" customWidth="1"/>
    <col min="14" max="14" width="14" customWidth="1"/>
    <col min="15" max="15" width="18" customWidth="1"/>
    <col min="16" max="16" width="3" customWidth="1"/>
  </cols>
  <sheetData>
    <row r="1" spans="1:15" ht="39.75" customHeight="1">
      <c r="A1" s="75" t="s">
        <v>37</v>
      </c>
      <c r="C1" s="68" t="s">
        <v>38</v>
      </c>
      <c r="D1" s="69"/>
      <c r="E1" s="69"/>
      <c r="F1" s="69"/>
    </row>
    <row r="2" spans="1:15" ht="19.5" customHeight="1">
      <c r="A2" s="3" t="s">
        <v>2</v>
      </c>
      <c r="C2" s="70" t="s">
        <v>39</v>
      </c>
      <c r="D2" s="71"/>
      <c r="E2" s="71"/>
      <c r="F2" s="71"/>
      <c r="G2" s="71"/>
    </row>
    <row r="3" spans="1:15" ht="27.75" customHeight="1">
      <c r="A3" s="64" t="str">
        <f>HYPERLINK("#TITULAR!D8","TITULAR")</f>
        <v>TITULAR</v>
      </c>
      <c r="D3" s="5" t="s">
        <v>40</v>
      </c>
      <c r="E3" s="5" t="s">
        <v>41</v>
      </c>
      <c r="F3" s="5" t="s">
        <v>42</v>
      </c>
      <c r="G3" s="5" t="s">
        <v>43</v>
      </c>
      <c r="H3" s="5" t="s">
        <v>44</v>
      </c>
    </row>
    <row r="4" spans="1:15" ht="27.75" customHeight="1">
      <c r="A4" s="67" t="str">
        <f>HYPERLINK("#INFORMES!D8","INFORMES")</f>
        <v>INFORMES</v>
      </c>
      <c r="D4" s="61">
        <v>2026</v>
      </c>
      <c r="E4" s="19">
        <f>SUM(H8:H37)</f>
        <v>6860.9</v>
      </c>
      <c r="F4" s="19">
        <f>SUM(I8:I37)</f>
        <v>568</v>
      </c>
      <c r="G4" s="20">
        <f>COUNTIF(J8:J37,"Não")</f>
        <v>1</v>
      </c>
      <c r="H4" s="21">
        <f>IF(E4=0,0,F4/E4)</f>
        <v>8.278797242344299E-2</v>
      </c>
    </row>
    <row r="5" spans="1:15" ht="27.75" customHeight="1">
      <c r="A5" s="64" t="str">
        <f>HYPERLINK("#GUIA!C8","GUIA &amp; LINKS")</f>
        <v>GUIA &amp; LINKS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ht="7.5" customHeight="1">
      <c r="A6" s="8"/>
    </row>
    <row r="7" spans="1:15" ht="31.5" customHeight="1">
      <c r="A7" s="8"/>
      <c r="C7" s="52" t="s">
        <v>45</v>
      </c>
      <c r="D7" s="52" t="s">
        <v>46</v>
      </c>
      <c r="E7" s="52" t="s">
        <v>47</v>
      </c>
      <c r="F7" s="52" t="s">
        <v>48</v>
      </c>
      <c r="G7" s="52" t="s">
        <v>49</v>
      </c>
      <c r="H7" s="52" t="s">
        <v>50</v>
      </c>
      <c r="I7" s="52" t="s">
        <v>51</v>
      </c>
      <c r="J7" s="52" t="s">
        <v>52</v>
      </c>
      <c r="K7" s="52" t="s">
        <v>53</v>
      </c>
      <c r="L7" s="52" t="s">
        <v>54</v>
      </c>
      <c r="M7" s="52" t="s">
        <v>55</v>
      </c>
      <c r="N7" s="52" t="s">
        <v>56</v>
      </c>
      <c r="O7" s="52" t="s">
        <v>57</v>
      </c>
    </row>
    <row r="8" spans="1:15" ht="21.75" customHeight="1">
      <c r="A8" s="11" t="s">
        <v>5</v>
      </c>
      <c r="C8" s="53">
        <f>IF(COUNTA(D8:J8)=0,"",ROW()-7)</f>
        <v>1</v>
      </c>
      <c r="D8" s="54">
        <v>46086</v>
      </c>
      <c r="E8" s="51" t="s">
        <v>58</v>
      </c>
      <c r="F8" s="55">
        <v>11222333000181</v>
      </c>
      <c r="G8" s="51" t="s">
        <v>59</v>
      </c>
      <c r="H8" s="56">
        <v>5200</v>
      </c>
      <c r="I8" s="56">
        <v>380.5</v>
      </c>
      <c r="J8" s="57" t="s">
        <v>28</v>
      </c>
      <c r="K8" s="58" t="str">
        <f>IF(ISNUMBER(D8),RIGHT("0"&amp;MONTH(D8),2)&amp;"/"&amp;YEAR(D8),"")</f>
        <v>03/2026</v>
      </c>
      <c r="L8" s="23" t="str">
        <f>IF(G8="","",IFERROR(VLOOKUP(G8,GUIA!$C$16:$E$25,2,FALSE()),"Tipo não cadastrado"))</f>
        <v>Rendimentos Tributáveis Recebidos de Pessoa Jurídica</v>
      </c>
      <c r="M8" s="23" t="str">
        <f>IF(G8="","",IFERROR(VLOOKUP(G8,GUIA!$C$16:$E$25,3,FALSE()),"—"))</f>
        <v>Tributável (tabela progressiva)</v>
      </c>
      <c r="N8" s="59">
        <f ca="1">IF(ISNUMBER(D8),IF(D8&gt;TODAY(),0,DATEDIF(D8,TODAY(),"D")),"")</f>
        <v>217</v>
      </c>
      <c r="O8" s="60" t="str">
        <f>IF(COUNTA(D8:J8)=0,"",IF(OR(D8="",E8="",F8="",G8="",H8=""),"Incompleto",IF(I8&gt;H8,"IR &gt; valor",IF(YEAR(D8)&lt;&gt;$D$4,"Fora do ano-base",IF(J8="Não","Sem comprovante","OK")))))</f>
        <v>OK</v>
      </c>
    </row>
    <row r="9" spans="1:15" ht="21.75" customHeight="1">
      <c r="A9" s="14" t="str">
        <f ca="1">"Titular: "&amp;TEXT(IFERROR(COUNTIF(TITULAR!$E$8:$E$29,"OK")/(COUNTIF(TITULAR!$E$8:$E$29,"OK")+COUNTIF(TITULAR!$E$8:$E$29,"Pendente")+COUNTIF(TITULAR!$E$8:$E$29,"Inválido")),0),"0%")</f>
        <v>Titular: 100%</v>
      </c>
      <c r="C9" s="53">
        <f>IF(COUNTA(D9:J9)=0,"",ROW()-7)</f>
        <v>2</v>
      </c>
      <c r="D9" s="54">
        <v>46188</v>
      </c>
      <c r="E9" s="51" t="s">
        <v>60</v>
      </c>
      <c r="F9" s="55">
        <v>12345678000195</v>
      </c>
      <c r="G9" s="51" t="s">
        <v>61</v>
      </c>
      <c r="H9" s="56">
        <v>410.9</v>
      </c>
      <c r="I9" s="56">
        <v>0</v>
      </c>
      <c r="J9" s="57" t="s">
        <v>28</v>
      </c>
      <c r="K9" s="58" t="str">
        <f>IF(ISNUMBER(D9),RIGHT("0"&amp;MONTH(D9),2)&amp;"/"&amp;YEAR(D9),"")</f>
        <v>06/2026</v>
      </c>
      <c r="L9" s="23" t="str">
        <f>IF(G9="","",IFERROR(VLOOKUP(G9,GUIA!$C$16:$E$25,2,FALSE()),"Tipo não cadastrado"))</f>
        <v>Rendimentos Isentos e Não Tributáveis</v>
      </c>
      <c r="M9" s="23" t="str">
        <f>IF(G9="","",IFERROR(VLOOKUP(G9,GUIA!$C$16:$E$25,3,FALSE()),"—"))</f>
        <v>Isento</v>
      </c>
      <c r="N9" s="59">
        <f ca="1">IF(ISNUMBER(D9),IF(D9&gt;TODAY(),0,DATEDIF(D9,TODAY(),"D")),"")</f>
        <v>115</v>
      </c>
      <c r="O9" s="60" t="str">
        <f>IF(COUNTA(D9:J9)=0,"",IF(OR(D9="",E9="",F9="",G9="",H9=""),"Incompleto",IF(I9&gt;H9,"IR &gt; valor",IF(YEAR(D9)&lt;&gt;$D$4,"Fora do ano-base",IF(J9="Não","Sem comprovante","OK")))))</f>
        <v>OK</v>
      </c>
    </row>
    <row r="10" spans="1:15" ht="21.75" customHeight="1">
      <c r="A10" s="14" t="str">
        <f>"Informes: "&amp;COUNTIF(INFORMES!O8:O37,"OK")&amp;" de "&amp;COUNTA(INFORMES!E8:E37)&amp;" ok"</f>
        <v>Informes: 2 de 3 ok</v>
      </c>
      <c r="C10" s="53">
        <f>IF(COUNTA(D10:J10)=0,"",ROW()-7)</f>
        <v>3</v>
      </c>
      <c r="D10" s="54">
        <v>46285</v>
      </c>
      <c r="E10" s="51" t="s">
        <v>62</v>
      </c>
      <c r="F10" s="55">
        <v>98765432000198</v>
      </c>
      <c r="G10" s="51" t="s">
        <v>63</v>
      </c>
      <c r="H10" s="56">
        <v>1250</v>
      </c>
      <c r="I10" s="56">
        <v>187.5</v>
      </c>
      <c r="J10" s="57" t="s">
        <v>30</v>
      </c>
      <c r="K10" s="58" t="str">
        <f>IF(ISNUMBER(D10),RIGHT("0"&amp;MONTH(D10),2)&amp;"/"&amp;YEAR(D10),"")</f>
        <v>09/2026</v>
      </c>
      <c r="L10" s="23" t="str">
        <f>IF(G10="","",IFERROR(VLOOKUP(G10,GUIA!$C$16:$E$25,2,FALSE()),"Tipo não cadastrado"))</f>
        <v>Rendimentos Sujeitos à Tributação Exclusiva/Definitiva</v>
      </c>
      <c r="M10" s="23" t="str">
        <f>IF(G10="","",IFERROR(VLOOKUP(G10,GUIA!$C$16:$E$25,3,FALSE()),"—"))</f>
        <v>Exclusiva na fonte</v>
      </c>
      <c r="N10" s="59">
        <f ca="1">IF(ISNUMBER(D10),IF(D10&gt;TODAY(),0,DATEDIF(D10,TODAY(),"D")),"")</f>
        <v>18</v>
      </c>
      <c r="O10" s="60" t="str">
        <f>IF(COUNTA(D10:J10)=0,"",IF(OR(D10="",E10="",F10="",G10="",H10=""),"Incompleto",IF(I10&gt;H10,"IR &gt; valor",IF(YEAR(D10)&lt;&gt;$D$4,"Fora do ano-base",IF(J10="Não","Sem comprovante","OK")))))</f>
        <v>Sem comprovante</v>
      </c>
    </row>
    <row r="11" spans="1:15" ht="21.75" customHeight="1">
      <c r="A11" s="14" t="str">
        <f>"Checklist: "&amp;GUIA!E5</f>
        <v>Checklist: 2 de 8</v>
      </c>
      <c r="C11" s="53" t="str">
        <f>IF(COUNTA(D11:J11)=0,"",ROW()-7)</f>
        <v/>
      </c>
      <c r="D11" s="54"/>
      <c r="E11" s="51"/>
      <c r="F11" s="55"/>
      <c r="G11" s="51"/>
      <c r="H11" s="56"/>
      <c r="I11" s="56"/>
      <c r="J11" s="57"/>
      <c r="K11" s="58" t="str">
        <f>IF(ISNUMBER(D11),RIGHT("0"&amp;MONTH(D11),2)&amp;"/"&amp;YEAR(D11),"")</f>
        <v/>
      </c>
      <c r="L11" s="23" t="str">
        <f>IF(G11="","",IFERROR(VLOOKUP(G11,GUIA!$C$16:$E$25,2,FALSE()),"Tipo não cadastrado"))</f>
        <v/>
      </c>
      <c r="M11" s="23" t="str">
        <f>IF(G11="","",IFERROR(VLOOKUP(G11,GUIA!$C$16:$E$25,3,FALSE()),"—"))</f>
        <v/>
      </c>
      <c r="N11" s="59" t="str">
        <f ca="1">IF(ISNUMBER(D11),IF(D11&gt;TODAY(),0,DATEDIF(D11,TODAY(),"D")),"")</f>
        <v/>
      </c>
      <c r="O11" s="60" t="str">
        <f>IF(COUNTA(D11:J11)=0,"",IF(OR(D11="",E11="",F11="",G11="",H11=""),"Incompleto",IF(I11&gt;H11,"IR &gt; valor",IF(YEAR(D11)&lt;&gt;$D$4,"Fora do ano-base",IF(J11="Não","Sem comprovante","OK")))))</f>
        <v/>
      </c>
    </row>
    <row r="12" spans="1:15" ht="21.75" customHeight="1">
      <c r="A12" s="8"/>
      <c r="C12" s="53" t="str">
        <f>IF(COUNTA(D12:J12)=0,"",ROW()-7)</f>
        <v/>
      </c>
      <c r="D12" s="54"/>
      <c r="E12" s="51"/>
      <c r="F12" s="55"/>
      <c r="G12" s="51"/>
      <c r="H12" s="56"/>
      <c r="I12" s="56"/>
      <c r="J12" s="57"/>
      <c r="K12" s="58" t="str">
        <f>IF(ISNUMBER(D12),RIGHT("0"&amp;MONTH(D12),2)&amp;"/"&amp;YEAR(D12),"")</f>
        <v/>
      </c>
      <c r="L12" s="23" t="str">
        <f>IF(G12="","",IFERROR(VLOOKUP(G12,GUIA!$C$16:$E$25,2,FALSE()),"Tipo não cadastrado"))</f>
        <v/>
      </c>
      <c r="M12" s="23" t="str">
        <f>IF(G12="","",IFERROR(VLOOKUP(G12,GUIA!$C$16:$E$25,3,FALSE()),"—"))</f>
        <v/>
      </c>
      <c r="N12" s="59" t="str">
        <f ca="1">IF(ISNUMBER(D12),IF(D12&gt;TODAY(),0,DATEDIF(D12,TODAY(),"D")),"")</f>
        <v/>
      </c>
      <c r="O12" s="60" t="str">
        <f>IF(COUNTA(D12:J12)=0,"",IF(OR(D12="",E12="",F12="",G12="",H12=""),"Incompleto",IF(I12&gt;H12,"IR &gt; valor",IF(YEAR(D12)&lt;&gt;$D$4,"Fora do ano-base",IF(J12="Não","Sem comprovante","OK")))))</f>
        <v/>
      </c>
    </row>
    <row r="13" spans="1:15" ht="21.75" customHeight="1">
      <c r="A13" s="8"/>
      <c r="C13" s="53" t="str">
        <f>IF(COUNTA(D13:J13)=0,"",ROW()-7)</f>
        <v/>
      </c>
      <c r="D13" s="54"/>
      <c r="E13" s="51"/>
      <c r="F13" s="55"/>
      <c r="G13" s="51"/>
      <c r="H13" s="56"/>
      <c r="I13" s="56"/>
      <c r="J13" s="57"/>
      <c r="K13" s="58" t="str">
        <f>IF(ISNUMBER(D13),RIGHT("0"&amp;MONTH(D13),2)&amp;"/"&amp;YEAR(D13),"")</f>
        <v/>
      </c>
      <c r="L13" s="23" t="str">
        <f>IF(G13="","",IFERROR(VLOOKUP(G13,GUIA!$C$16:$E$25,2,FALSE()),"Tipo não cadastrado"))</f>
        <v/>
      </c>
      <c r="M13" s="23" t="str">
        <f>IF(G13="","",IFERROR(VLOOKUP(G13,GUIA!$C$16:$E$25,3,FALSE()),"—"))</f>
        <v/>
      </c>
      <c r="N13" s="59" t="str">
        <f ca="1">IF(ISNUMBER(D13),IF(D13&gt;TODAY(),0,DATEDIF(D13,TODAY(),"D")),"")</f>
        <v/>
      </c>
      <c r="O13" s="60" t="str">
        <f>IF(COUNTA(D13:J13)=0,"",IF(OR(D13="",E13="",F13="",G13="",H13=""),"Incompleto",IF(I13&gt;H13,"IR &gt; valor",IF(YEAR(D13)&lt;&gt;$D$4,"Fora do ano-base",IF(J13="Não","Sem comprovante","OK")))))</f>
        <v/>
      </c>
    </row>
    <row r="14" spans="1:15" ht="21.75" customHeight="1">
      <c r="A14" s="8"/>
      <c r="C14" s="53" t="str">
        <f>IF(COUNTA(D14:J14)=0,"",ROW()-7)</f>
        <v/>
      </c>
      <c r="D14" s="54"/>
      <c r="E14" s="51"/>
      <c r="F14" s="55"/>
      <c r="G14" s="51"/>
      <c r="H14" s="56"/>
      <c r="I14" s="56"/>
      <c r="J14" s="57"/>
      <c r="K14" s="58" t="str">
        <f>IF(ISNUMBER(D14),RIGHT("0"&amp;MONTH(D14),2)&amp;"/"&amp;YEAR(D14),"")</f>
        <v/>
      </c>
      <c r="L14" s="23" t="str">
        <f>IF(G14="","",IFERROR(VLOOKUP(G14,GUIA!$C$16:$E$25,2,FALSE()),"Tipo não cadastrado"))</f>
        <v/>
      </c>
      <c r="M14" s="23" t="str">
        <f>IF(G14="","",IFERROR(VLOOKUP(G14,GUIA!$C$16:$E$25,3,FALSE()),"—"))</f>
        <v/>
      </c>
      <c r="N14" s="59" t="str">
        <f ca="1">IF(ISNUMBER(D14),IF(D14&gt;TODAY(),0,DATEDIF(D14,TODAY(),"D")),"")</f>
        <v/>
      </c>
      <c r="O14" s="60" t="str">
        <f>IF(COUNTA(D14:J14)=0,"",IF(OR(D14="",E14="",F14="",G14="",H14=""),"Incompleto",IF(I14&gt;H14,"IR &gt; valor",IF(YEAR(D14)&lt;&gt;$D$4,"Fora do ano-base",IF(J14="Não","Sem comprovante","OK")))))</f>
        <v/>
      </c>
    </row>
    <row r="15" spans="1:15" ht="21.75" customHeight="1">
      <c r="A15" s="8"/>
      <c r="C15" s="53" t="str">
        <f>IF(COUNTA(D15:J15)=0,"",ROW()-7)</f>
        <v/>
      </c>
      <c r="D15" s="54"/>
      <c r="E15" s="51"/>
      <c r="F15" s="55"/>
      <c r="G15" s="51"/>
      <c r="H15" s="56"/>
      <c r="I15" s="56"/>
      <c r="J15" s="57"/>
      <c r="K15" s="58" t="str">
        <f>IF(ISNUMBER(D15),RIGHT("0"&amp;MONTH(D15),2)&amp;"/"&amp;YEAR(D15),"")</f>
        <v/>
      </c>
      <c r="L15" s="23" t="str">
        <f>IF(G15="","",IFERROR(VLOOKUP(G15,GUIA!$C$16:$E$25,2,FALSE()),"Tipo não cadastrado"))</f>
        <v/>
      </c>
      <c r="M15" s="23" t="str">
        <f>IF(G15="","",IFERROR(VLOOKUP(G15,GUIA!$C$16:$E$25,3,FALSE()),"—"))</f>
        <v/>
      </c>
      <c r="N15" s="59" t="str">
        <f ca="1">IF(ISNUMBER(D15),IF(D15&gt;TODAY(),0,DATEDIF(D15,TODAY(),"D")),"")</f>
        <v/>
      </c>
      <c r="O15" s="60" t="str">
        <f>IF(COUNTA(D15:J15)=0,"",IF(OR(D15="",E15="",F15="",G15="",H15=""),"Incompleto",IF(I15&gt;H15,"IR &gt; valor",IF(YEAR(D15)&lt;&gt;$D$4,"Fora do ano-base",IF(J15="Não","Sem comprovante","OK")))))</f>
        <v/>
      </c>
    </row>
    <row r="16" spans="1:15" ht="21.75" customHeight="1">
      <c r="A16" s="8"/>
      <c r="C16" s="53" t="str">
        <f>IF(COUNTA(D16:J16)=0,"",ROW()-7)</f>
        <v/>
      </c>
      <c r="D16" s="54"/>
      <c r="E16" s="51"/>
      <c r="F16" s="55"/>
      <c r="G16" s="51"/>
      <c r="H16" s="56"/>
      <c r="I16" s="56"/>
      <c r="J16" s="57"/>
      <c r="K16" s="58" t="str">
        <f>IF(ISNUMBER(D16),RIGHT("0"&amp;MONTH(D16),2)&amp;"/"&amp;YEAR(D16),"")</f>
        <v/>
      </c>
      <c r="L16" s="23" t="str">
        <f>IF(G16="","",IFERROR(VLOOKUP(G16,GUIA!$C$16:$E$25,2,FALSE()),"Tipo não cadastrado"))</f>
        <v/>
      </c>
      <c r="M16" s="23" t="str">
        <f>IF(G16="","",IFERROR(VLOOKUP(G16,GUIA!$C$16:$E$25,3,FALSE()),"—"))</f>
        <v/>
      </c>
      <c r="N16" s="59" t="str">
        <f ca="1">IF(ISNUMBER(D16),IF(D16&gt;TODAY(),0,DATEDIF(D16,TODAY(),"D")),"")</f>
        <v/>
      </c>
      <c r="O16" s="60" t="str">
        <f>IF(COUNTA(D16:J16)=0,"",IF(OR(D16="",E16="",F16="",G16="",H16=""),"Incompleto",IF(I16&gt;H16,"IR &gt; valor",IF(YEAR(D16)&lt;&gt;$D$4,"Fora do ano-base",IF(J16="Não","Sem comprovante","OK")))))</f>
        <v/>
      </c>
    </row>
    <row r="17" spans="1:15" ht="21.75" customHeight="1">
      <c r="A17" s="8"/>
      <c r="C17" s="53" t="str">
        <f>IF(COUNTA(D17:J17)=0,"",ROW()-7)</f>
        <v/>
      </c>
      <c r="D17" s="54"/>
      <c r="E17" s="51"/>
      <c r="F17" s="55"/>
      <c r="G17" s="51"/>
      <c r="H17" s="56"/>
      <c r="I17" s="56"/>
      <c r="J17" s="57"/>
      <c r="K17" s="58" t="str">
        <f>IF(ISNUMBER(D17),RIGHT("0"&amp;MONTH(D17),2)&amp;"/"&amp;YEAR(D17),"")</f>
        <v/>
      </c>
      <c r="L17" s="23" t="str">
        <f>IF(G17="","",IFERROR(VLOOKUP(G17,GUIA!$C$16:$E$25,2,FALSE()),"Tipo não cadastrado"))</f>
        <v/>
      </c>
      <c r="M17" s="23" t="str">
        <f>IF(G17="","",IFERROR(VLOOKUP(G17,GUIA!$C$16:$E$25,3,FALSE()),"—"))</f>
        <v/>
      </c>
      <c r="N17" s="59" t="str">
        <f ca="1">IF(ISNUMBER(D17),IF(D17&gt;TODAY(),0,DATEDIF(D17,TODAY(),"D")),"")</f>
        <v/>
      </c>
      <c r="O17" s="60" t="str">
        <f>IF(COUNTA(D17:J17)=0,"",IF(OR(D17="",E17="",F17="",G17="",H17=""),"Incompleto",IF(I17&gt;H17,"IR &gt; valor",IF(YEAR(D17)&lt;&gt;$D$4,"Fora do ano-base",IF(J17="Não","Sem comprovante","OK")))))</f>
        <v/>
      </c>
    </row>
    <row r="18" spans="1:15" ht="21.75" customHeight="1">
      <c r="A18" s="8"/>
      <c r="C18" s="53" t="str">
        <f>IF(COUNTA(D18:J18)=0,"",ROW()-7)</f>
        <v/>
      </c>
      <c r="D18" s="54"/>
      <c r="E18" s="51"/>
      <c r="F18" s="55"/>
      <c r="G18" s="51"/>
      <c r="H18" s="56"/>
      <c r="I18" s="56"/>
      <c r="J18" s="57"/>
      <c r="K18" s="58" t="str">
        <f>IF(ISNUMBER(D18),RIGHT("0"&amp;MONTH(D18),2)&amp;"/"&amp;YEAR(D18),"")</f>
        <v/>
      </c>
      <c r="L18" s="23" t="str">
        <f>IF(G18="","",IFERROR(VLOOKUP(G18,GUIA!$C$16:$E$25,2,FALSE()),"Tipo não cadastrado"))</f>
        <v/>
      </c>
      <c r="M18" s="23" t="str">
        <f>IF(G18="","",IFERROR(VLOOKUP(G18,GUIA!$C$16:$E$25,3,FALSE()),"—"))</f>
        <v/>
      </c>
      <c r="N18" s="59" t="str">
        <f ca="1">IF(ISNUMBER(D18),IF(D18&gt;TODAY(),0,DATEDIF(D18,TODAY(),"D")),"")</f>
        <v/>
      </c>
      <c r="O18" s="60" t="str">
        <f>IF(COUNTA(D18:J18)=0,"",IF(OR(D18="",E18="",F18="",G18="",H18=""),"Incompleto",IF(I18&gt;H18,"IR &gt; valor",IF(YEAR(D18)&lt;&gt;$D$4,"Fora do ano-base",IF(J18="Não","Sem comprovante","OK")))))</f>
        <v/>
      </c>
    </row>
    <row r="19" spans="1:15" ht="21.75" customHeight="1">
      <c r="A19" s="8"/>
      <c r="C19" s="53" t="str">
        <f>IF(COUNTA(D19:J19)=0,"",ROW()-7)</f>
        <v/>
      </c>
      <c r="D19" s="54"/>
      <c r="E19" s="51"/>
      <c r="F19" s="55"/>
      <c r="G19" s="51"/>
      <c r="H19" s="56"/>
      <c r="I19" s="56"/>
      <c r="J19" s="57"/>
      <c r="K19" s="58" t="str">
        <f>IF(ISNUMBER(D19),RIGHT("0"&amp;MONTH(D19),2)&amp;"/"&amp;YEAR(D19),"")</f>
        <v/>
      </c>
      <c r="L19" s="23" t="str">
        <f>IF(G19="","",IFERROR(VLOOKUP(G19,GUIA!$C$16:$E$25,2,FALSE()),"Tipo não cadastrado"))</f>
        <v/>
      </c>
      <c r="M19" s="23" t="str">
        <f>IF(G19="","",IFERROR(VLOOKUP(G19,GUIA!$C$16:$E$25,3,FALSE()),"—"))</f>
        <v/>
      </c>
      <c r="N19" s="59" t="str">
        <f ca="1">IF(ISNUMBER(D19),IF(D19&gt;TODAY(),0,DATEDIF(D19,TODAY(),"D")),"")</f>
        <v/>
      </c>
      <c r="O19" s="60" t="str">
        <f>IF(COUNTA(D19:J19)=0,"",IF(OR(D19="",E19="",F19="",G19="",H19=""),"Incompleto",IF(I19&gt;H19,"IR &gt; valor",IF(YEAR(D19)&lt;&gt;$D$4,"Fora do ano-base",IF(J19="Não","Sem comprovante","OK")))))</f>
        <v/>
      </c>
    </row>
    <row r="20" spans="1:15" ht="21.75" customHeight="1">
      <c r="A20" s="8"/>
      <c r="C20" s="53" t="str">
        <f>IF(COUNTA(D20:J20)=0,"",ROW()-7)</f>
        <v/>
      </c>
      <c r="D20" s="54"/>
      <c r="E20" s="51"/>
      <c r="F20" s="55"/>
      <c r="G20" s="51"/>
      <c r="H20" s="56"/>
      <c r="I20" s="56"/>
      <c r="J20" s="57"/>
      <c r="K20" s="58" t="str">
        <f>IF(ISNUMBER(D20),RIGHT("0"&amp;MONTH(D20),2)&amp;"/"&amp;YEAR(D20),"")</f>
        <v/>
      </c>
      <c r="L20" s="23" t="str">
        <f>IF(G20="","",IFERROR(VLOOKUP(G20,GUIA!$C$16:$E$25,2,FALSE()),"Tipo não cadastrado"))</f>
        <v/>
      </c>
      <c r="M20" s="23" t="str">
        <f>IF(G20="","",IFERROR(VLOOKUP(G20,GUIA!$C$16:$E$25,3,FALSE()),"—"))</f>
        <v/>
      </c>
      <c r="N20" s="59" t="str">
        <f ca="1">IF(ISNUMBER(D20),IF(D20&gt;TODAY(),0,DATEDIF(D20,TODAY(),"D")),"")</f>
        <v/>
      </c>
      <c r="O20" s="60" t="str">
        <f>IF(COUNTA(D20:J20)=0,"",IF(OR(D20="",E20="",F20="",G20="",H20=""),"Incompleto",IF(I20&gt;H20,"IR &gt; valor",IF(YEAR(D20)&lt;&gt;$D$4,"Fora do ano-base",IF(J20="Não","Sem comprovante","OK")))))</f>
        <v/>
      </c>
    </row>
    <row r="21" spans="1:15" ht="21.75" customHeight="1">
      <c r="A21" s="8"/>
      <c r="C21" s="53" t="str">
        <f>IF(COUNTA(D21:J21)=0,"",ROW()-7)</f>
        <v/>
      </c>
      <c r="D21" s="54"/>
      <c r="E21" s="51"/>
      <c r="F21" s="55"/>
      <c r="G21" s="51"/>
      <c r="H21" s="56"/>
      <c r="I21" s="56"/>
      <c r="J21" s="57"/>
      <c r="K21" s="58" t="str">
        <f>IF(ISNUMBER(D21),RIGHT("0"&amp;MONTH(D21),2)&amp;"/"&amp;YEAR(D21),"")</f>
        <v/>
      </c>
      <c r="L21" s="23" t="str">
        <f>IF(G21="","",IFERROR(VLOOKUP(G21,GUIA!$C$16:$E$25,2,FALSE()),"Tipo não cadastrado"))</f>
        <v/>
      </c>
      <c r="M21" s="23" t="str">
        <f>IF(G21="","",IFERROR(VLOOKUP(G21,GUIA!$C$16:$E$25,3,FALSE()),"—"))</f>
        <v/>
      </c>
      <c r="N21" s="59" t="str">
        <f ca="1">IF(ISNUMBER(D21),IF(D21&gt;TODAY(),0,DATEDIF(D21,TODAY(),"D")),"")</f>
        <v/>
      </c>
      <c r="O21" s="60" t="str">
        <f>IF(COUNTA(D21:J21)=0,"",IF(OR(D21="",E21="",F21="",G21="",H21=""),"Incompleto",IF(I21&gt;H21,"IR &gt; valor",IF(YEAR(D21)&lt;&gt;$D$4,"Fora do ano-base",IF(J21="Não","Sem comprovante","OK")))))</f>
        <v/>
      </c>
    </row>
    <row r="22" spans="1:15" ht="21.75" customHeight="1">
      <c r="A22" s="8"/>
      <c r="C22" s="53" t="str">
        <f>IF(COUNTA(D22:J22)=0,"",ROW()-7)</f>
        <v/>
      </c>
      <c r="D22" s="54"/>
      <c r="E22" s="51"/>
      <c r="F22" s="55"/>
      <c r="G22" s="51"/>
      <c r="H22" s="56"/>
      <c r="I22" s="56"/>
      <c r="J22" s="57"/>
      <c r="K22" s="58" t="str">
        <f>IF(ISNUMBER(D22),RIGHT("0"&amp;MONTH(D22),2)&amp;"/"&amp;YEAR(D22),"")</f>
        <v/>
      </c>
      <c r="L22" s="23" t="str">
        <f>IF(G22="","",IFERROR(VLOOKUP(G22,GUIA!$C$16:$E$25,2,FALSE()),"Tipo não cadastrado"))</f>
        <v/>
      </c>
      <c r="M22" s="23" t="str">
        <f>IF(G22="","",IFERROR(VLOOKUP(G22,GUIA!$C$16:$E$25,3,FALSE()),"—"))</f>
        <v/>
      </c>
      <c r="N22" s="59" t="str">
        <f ca="1">IF(ISNUMBER(D22),IF(D22&gt;TODAY(),0,DATEDIF(D22,TODAY(),"D")),"")</f>
        <v/>
      </c>
      <c r="O22" s="60" t="str">
        <f>IF(COUNTA(D22:J22)=0,"",IF(OR(D22="",E22="",F22="",G22="",H22=""),"Incompleto",IF(I22&gt;H22,"IR &gt; valor",IF(YEAR(D22)&lt;&gt;$D$4,"Fora do ano-base",IF(J22="Não","Sem comprovante","OK")))))</f>
        <v/>
      </c>
    </row>
    <row r="23" spans="1:15" ht="21.75" customHeight="1">
      <c r="A23" s="8"/>
      <c r="C23" s="53" t="str">
        <f>IF(COUNTA(D23:J23)=0,"",ROW()-7)</f>
        <v/>
      </c>
      <c r="D23" s="54"/>
      <c r="E23" s="51"/>
      <c r="F23" s="55"/>
      <c r="G23" s="51"/>
      <c r="H23" s="56"/>
      <c r="I23" s="56"/>
      <c r="J23" s="57"/>
      <c r="K23" s="58" t="str">
        <f>IF(ISNUMBER(D23),RIGHT("0"&amp;MONTH(D23),2)&amp;"/"&amp;YEAR(D23),"")</f>
        <v/>
      </c>
      <c r="L23" s="23" t="str">
        <f>IF(G23="","",IFERROR(VLOOKUP(G23,GUIA!$C$16:$E$25,2,FALSE()),"Tipo não cadastrado"))</f>
        <v/>
      </c>
      <c r="M23" s="23" t="str">
        <f>IF(G23="","",IFERROR(VLOOKUP(G23,GUIA!$C$16:$E$25,3,FALSE()),"—"))</f>
        <v/>
      </c>
      <c r="N23" s="59" t="str">
        <f ca="1">IF(ISNUMBER(D23),IF(D23&gt;TODAY(),0,DATEDIF(D23,TODAY(),"D")),"")</f>
        <v/>
      </c>
      <c r="O23" s="60" t="str">
        <f>IF(COUNTA(D23:J23)=0,"",IF(OR(D23="",E23="",F23="",G23="",H23=""),"Incompleto",IF(I23&gt;H23,"IR &gt; valor",IF(YEAR(D23)&lt;&gt;$D$4,"Fora do ano-base",IF(J23="Não","Sem comprovante","OK")))))</f>
        <v/>
      </c>
    </row>
    <row r="24" spans="1:15" ht="21.75" customHeight="1">
      <c r="A24" s="8"/>
      <c r="C24" s="53" t="str">
        <f>IF(COUNTA(D24:J24)=0,"",ROW()-7)</f>
        <v/>
      </c>
      <c r="D24" s="54"/>
      <c r="E24" s="51"/>
      <c r="F24" s="55"/>
      <c r="G24" s="51"/>
      <c r="H24" s="56"/>
      <c r="I24" s="56"/>
      <c r="J24" s="57"/>
      <c r="K24" s="58" t="str">
        <f>IF(ISNUMBER(D24),RIGHT("0"&amp;MONTH(D24),2)&amp;"/"&amp;YEAR(D24),"")</f>
        <v/>
      </c>
      <c r="L24" s="23" t="str">
        <f>IF(G24="","",IFERROR(VLOOKUP(G24,GUIA!$C$16:$E$25,2,FALSE()),"Tipo não cadastrado"))</f>
        <v/>
      </c>
      <c r="M24" s="23" t="str">
        <f>IF(G24="","",IFERROR(VLOOKUP(G24,GUIA!$C$16:$E$25,3,FALSE()),"—"))</f>
        <v/>
      </c>
      <c r="N24" s="59" t="str">
        <f ca="1">IF(ISNUMBER(D24),IF(D24&gt;TODAY(),0,DATEDIF(D24,TODAY(),"D")),"")</f>
        <v/>
      </c>
      <c r="O24" s="60" t="str">
        <f>IF(COUNTA(D24:J24)=0,"",IF(OR(D24="",E24="",F24="",G24="",H24=""),"Incompleto",IF(I24&gt;H24,"IR &gt; valor",IF(YEAR(D24)&lt;&gt;$D$4,"Fora do ano-base",IF(J24="Não","Sem comprovante","OK")))))</f>
        <v/>
      </c>
    </row>
    <row r="25" spans="1:15" ht="21.75" customHeight="1">
      <c r="A25" s="8"/>
      <c r="C25" s="53" t="str">
        <f>IF(COUNTA(D25:J25)=0,"",ROW()-7)</f>
        <v/>
      </c>
      <c r="D25" s="54"/>
      <c r="E25" s="51"/>
      <c r="F25" s="55"/>
      <c r="G25" s="51"/>
      <c r="H25" s="56"/>
      <c r="I25" s="56"/>
      <c r="J25" s="57"/>
      <c r="K25" s="58" t="str">
        <f>IF(ISNUMBER(D25),RIGHT("0"&amp;MONTH(D25),2)&amp;"/"&amp;YEAR(D25),"")</f>
        <v/>
      </c>
      <c r="L25" s="23" t="str">
        <f>IF(G25="","",IFERROR(VLOOKUP(G25,GUIA!$C$16:$E$25,2,FALSE()),"Tipo não cadastrado"))</f>
        <v/>
      </c>
      <c r="M25" s="23" t="str">
        <f>IF(G25="","",IFERROR(VLOOKUP(G25,GUIA!$C$16:$E$25,3,FALSE()),"—"))</f>
        <v/>
      </c>
      <c r="N25" s="59" t="str">
        <f ca="1">IF(ISNUMBER(D25),IF(D25&gt;TODAY(),0,DATEDIF(D25,TODAY(),"D")),"")</f>
        <v/>
      </c>
      <c r="O25" s="60" t="str">
        <f>IF(COUNTA(D25:J25)=0,"",IF(OR(D25="",E25="",F25="",G25="",H25=""),"Incompleto",IF(I25&gt;H25,"IR &gt; valor",IF(YEAR(D25)&lt;&gt;$D$4,"Fora do ano-base",IF(J25="Não","Sem comprovante","OK")))))</f>
        <v/>
      </c>
    </row>
    <row r="26" spans="1:15" ht="21.75" customHeight="1">
      <c r="A26" s="8"/>
      <c r="C26" s="53" t="str">
        <f>IF(COUNTA(D26:J26)=0,"",ROW()-7)</f>
        <v/>
      </c>
      <c r="D26" s="54"/>
      <c r="E26" s="51"/>
      <c r="F26" s="55"/>
      <c r="G26" s="51"/>
      <c r="H26" s="56"/>
      <c r="I26" s="56"/>
      <c r="J26" s="57"/>
      <c r="K26" s="58" t="str">
        <f>IF(ISNUMBER(D26),RIGHT("0"&amp;MONTH(D26),2)&amp;"/"&amp;YEAR(D26),"")</f>
        <v/>
      </c>
      <c r="L26" s="23" t="str">
        <f>IF(G26="","",IFERROR(VLOOKUP(G26,GUIA!$C$16:$E$25,2,FALSE()),"Tipo não cadastrado"))</f>
        <v/>
      </c>
      <c r="M26" s="23" t="str">
        <f>IF(G26="","",IFERROR(VLOOKUP(G26,GUIA!$C$16:$E$25,3,FALSE()),"—"))</f>
        <v/>
      </c>
      <c r="N26" s="59" t="str">
        <f ca="1">IF(ISNUMBER(D26),IF(D26&gt;TODAY(),0,DATEDIF(D26,TODAY(),"D")),"")</f>
        <v/>
      </c>
      <c r="O26" s="60" t="str">
        <f>IF(COUNTA(D26:J26)=0,"",IF(OR(D26="",E26="",F26="",G26="",H26=""),"Incompleto",IF(I26&gt;H26,"IR &gt; valor",IF(YEAR(D26)&lt;&gt;$D$4,"Fora do ano-base",IF(J26="Não","Sem comprovante","OK")))))</f>
        <v/>
      </c>
    </row>
    <row r="27" spans="1:15" ht="21.75" customHeight="1">
      <c r="A27" s="8"/>
      <c r="C27" s="53" t="str">
        <f>IF(COUNTA(D27:J27)=0,"",ROW()-7)</f>
        <v/>
      </c>
      <c r="D27" s="54"/>
      <c r="E27" s="51"/>
      <c r="F27" s="55"/>
      <c r="G27" s="51"/>
      <c r="H27" s="56"/>
      <c r="I27" s="56"/>
      <c r="J27" s="57"/>
      <c r="K27" s="58" t="str">
        <f>IF(ISNUMBER(D27),RIGHT("0"&amp;MONTH(D27),2)&amp;"/"&amp;YEAR(D27),"")</f>
        <v/>
      </c>
      <c r="L27" s="23" t="str">
        <f>IF(G27="","",IFERROR(VLOOKUP(G27,GUIA!$C$16:$E$25,2,FALSE()),"Tipo não cadastrado"))</f>
        <v/>
      </c>
      <c r="M27" s="23" t="str">
        <f>IF(G27="","",IFERROR(VLOOKUP(G27,GUIA!$C$16:$E$25,3,FALSE()),"—"))</f>
        <v/>
      </c>
      <c r="N27" s="59" t="str">
        <f ca="1">IF(ISNUMBER(D27),IF(D27&gt;TODAY(),0,DATEDIF(D27,TODAY(),"D")),"")</f>
        <v/>
      </c>
      <c r="O27" s="60" t="str">
        <f>IF(COUNTA(D27:J27)=0,"",IF(OR(D27="",E27="",F27="",G27="",H27=""),"Incompleto",IF(I27&gt;H27,"IR &gt; valor",IF(YEAR(D27)&lt;&gt;$D$4,"Fora do ano-base",IF(J27="Não","Sem comprovante","OK")))))</f>
        <v/>
      </c>
    </row>
    <row r="28" spans="1:15" ht="21.75" customHeight="1">
      <c r="A28" s="8"/>
      <c r="C28" s="53" t="str">
        <f>IF(COUNTA(D28:J28)=0,"",ROW()-7)</f>
        <v/>
      </c>
      <c r="D28" s="54"/>
      <c r="E28" s="51"/>
      <c r="F28" s="55"/>
      <c r="G28" s="51"/>
      <c r="H28" s="56"/>
      <c r="I28" s="56"/>
      <c r="J28" s="57"/>
      <c r="K28" s="58" t="str">
        <f>IF(ISNUMBER(D28),RIGHT("0"&amp;MONTH(D28),2)&amp;"/"&amp;YEAR(D28),"")</f>
        <v/>
      </c>
      <c r="L28" s="23" t="str">
        <f>IF(G28="","",IFERROR(VLOOKUP(G28,GUIA!$C$16:$E$25,2,FALSE()),"Tipo não cadastrado"))</f>
        <v/>
      </c>
      <c r="M28" s="23" t="str">
        <f>IF(G28="","",IFERROR(VLOOKUP(G28,GUIA!$C$16:$E$25,3,FALSE()),"—"))</f>
        <v/>
      </c>
      <c r="N28" s="59" t="str">
        <f ca="1">IF(ISNUMBER(D28),IF(D28&gt;TODAY(),0,DATEDIF(D28,TODAY(),"D")),"")</f>
        <v/>
      </c>
      <c r="O28" s="60" t="str">
        <f>IF(COUNTA(D28:J28)=0,"",IF(OR(D28="",E28="",F28="",G28="",H28=""),"Incompleto",IF(I28&gt;H28,"IR &gt; valor",IF(YEAR(D28)&lt;&gt;$D$4,"Fora do ano-base",IF(J28="Não","Sem comprovante","OK")))))</f>
        <v/>
      </c>
    </row>
    <row r="29" spans="1:15" ht="21.75" customHeight="1">
      <c r="A29" s="8"/>
      <c r="C29" s="53" t="str">
        <f>IF(COUNTA(D29:J29)=0,"",ROW()-7)</f>
        <v/>
      </c>
      <c r="D29" s="54"/>
      <c r="E29" s="51"/>
      <c r="F29" s="55"/>
      <c r="G29" s="51"/>
      <c r="H29" s="56"/>
      <c r="I29" s="56"/>
      <c r="J29" s="57"/>
      <c r="K29" s="58" t="str">
        <f>IF(ISNUMBER(D29),RIGHT("0"&amp;MONTH(D29),2)&amp;"/"&amp;YEAR(D29),"")</f>
        <v/>
      </c>
      <c r="L29" s="23" t="str">
        <f>IF(G29="","",IFERROR(VLOOKUP(G29,GUIA!$C$16:$E$25,2,FALSE()),"Tipo não cadastrado"))</f>
        <v/>
      </c>
      <c r="M29" s="23" t="str">
        <f>IF(G29="","",IFERROR(VLOOKUP(G29,GUIA!$C$16:$E$25,3,FALSE()),"—"))</f>
        <v/>
      </c>
      <c r="N29" s="59" t="str">
        <f ca="1">IF(ISNUMBER(D29),IF(D29&gt;TODAY(),0,DATEDIF(D29,TODAY(),"D")),"")</f>
        <v/>
      </c>
      <c r="O29" s="60" t="str">
        <f>IF(COUNTA(D29:J29)=0,"",IF(OR(D29="",E29="",F29="",G29="",H29=""),"Incompleto",IF(I29&gt;H29,"IR &gt; valor",IF(YEAR(D29)&lt;&gt;$D$4,"Fora do ano-base",IF(J29="Não","Sem comprovante","OK")))))</f>
        <v/>
      </c>
    </row>
    <row r="30" spans="1:15" ht="21.75" customHeight="1">
      <c r="A30" s="8"/>
      <c r="C30" s="53" t="str">
        <f>IF(COUNTA(D30:J30)=0,"",ROW()-7)</f>
        <v/>
      </c>
      <c r="D30" s="54"/>
      <c r="E30" s="51"/>
      <c r="F30" s="55"/>
      <c r="G30" s="51"/>
      <c r="H30" s="56"/>
      <c r="I30" s="56"/>
      <c r="J30" s="57"/>
      <c r="K30" s="58" t="str">
        <f>IF(ISNUMBER(D30),RIGHT("0"&amp;MONTH(D30),2)&amp;"/"&amp;YEAR(D30),"")</f>
        <v/>
      </c>
      <c r="L30" s="23" t="str">
        <f>IF(G30="","",IFERROR(VLOOKUP(G30,GUIA!$C$16:$E$25,2,FALSE()),"Tipo não cadastrado"))</f>
        <v/>
      </c>
      <c r="M30" s="23" t="str">
        <f>IF(G30="","",IFERROR(VLOOKUP(G30,GUIA!$C$16:$E$25,3,FALSE()),"—"))</f>
        <v/>
      </c>
      <c r="N30" s="59" t="str">
        <f ca="1">IF(ISNUMBER(D30),IF(D30&gt;TODAY(),0,DATEDIF(D30,TODAY(),"D")),"")</f>
        <v/>
      </c>
      <c r="O30" s="60" t="str">
        <f>IF(COUNTA(D30:J30)=0,"",IF(OR(D30="",E30="",F30="",G30="",H30=""),"Incompleto",IF(I30&gt;H30,"IR &gt; valor",IF(YEAR(D30)&lt;&gt;$D$4,"Fora do ano-base",IF(J30="Não","Sem comprovante","OK")))))</f>
        <v/>
      </c>
    </row>
    <row r="31" spans="1:15" ht="21.75" customHeight="1">
      <c r="A31" s="8"/>
      <c r="C31" s="53" t="str">
        <f>IF(COUNTA(D31:J31)=0,"",ROW()-7)</f>
        <v/>
      </c>
      <c r="D31" s="54"/>
      <c r="E31" s="51"/>
      <c r="F31" s="55"/>
      <c r="G31" s="51"/>
      <c r="H31" s="56"/>
      <c r="I31" s="56"/>
      <c r="J31" s="57"/>
      <c r="K31" s="58" t="str">
        <f>IF(ISNUMBER(D31),RIGHT("0"&amp;MONTH(D31),2)&amp;"/"&amp;YEAR(D31),"")</f>
        <v/>
      </c>
      <c r="L31" s="23" t="str">
        <f>IF(G31="","",IFERROR(VLOOKUP(G31,GUIA!$C$16:$E$25,2,FALSE()),"Tipo não cadastrado"))</f>
        <v/>
      </c>
      <c r="M31" s="23" t="str">
        <f>IF(G31="","",IFERROR(VLOOKUP(G31,GUIA!$C$16:$E$25,3,FALSE()),"—"))</f>
        <v/>
      </c>
      <c r="N31" s="59" t="str">
        <f ca="1">IF(ISNUMBER(D31),IF(D31&gt;TODAY(),0,DATEDIF(D31,TODAY(),"D")),"")</f>
        <v/>
      </c>
      <c r="O31" s="60" t="str">
        <f>IF(COUNTA(D31:J31)=0,"",IF(OR(D31="",E31="",F31="",G31="",H31=""),"Incompleto",IF(I31&gt;H31,"IR &gt; valor",IF(YEAR(D31)&lt;&gt;$D$4,"Fora do ano-base",IF(J31="Não","Sem comprovante","OK")))))</f>
        <v/>
      </c>
    </row>
    <row r="32" spans="1:15" ht="21.75" customHeight="1">
      <c r="A32" s="8"/>
      <c r="C32" s="53" t="str">
        <f>IF(COUNTA(D32:J32)=0,"",ROW()-7)</f>
        <v/>
      </c>
      <c r="D32" s="54"/>
      <c r="E32" s="51"/>
      <c r="F32" s="55"/>
      <c r="G32" s="51"/>
      <c r="H32" s="56"/>
      <c r="I32" s="56"/>
      <c r="J32" s="57"/>
      <c r="K32" s="58" t="str">
        <f>IF(ISNUMBER(D32),RIGHT("0"&amp;MONTH(D32),2)&amp;"/"&amp;YEAR(D32),"")</f>
        <v/>
      </c>
      <c r="L32" s="23" t="str">
        <f>IF(G32="","",IFERROR(VLOOKUP(G32,GUIA!$C$16:$E$25,2,FALSE()),"Tipo não cadastrado"))</f>
        <v/>
      </c>
      <c r="M32" s="23" t="str">
        <f>IF(G32="","",IFERROR(VLOOKUP(G32,GUIA!$C$16:$E$25,3,FALSE()),"—"))</f>
        <v/>
      </c>
      <c r="N32" s="59" t="str">
        <f ca="1">IF(ISNUMBER(D32),IF(D32&gt;TODAY(),0,DATEDIF(D32,TODAY(),"D")),"")</f>
        <v/>
      </c>
      <c r="O32" s="60" t="str">
        <f>IF(COUNTA(D32:J32)=0,"",IF(OR(D32="",E32="",F32="",G32="",H32=""),"Incompleto",IF(I32&gt;H32,"IR &gt; valor",IF(YEAR(D32)&lt;&gt;$D$4,"Fora do ano-base",IF(J32="Não","Sem comprovante","OK")))))</f>
        <v/>
      </c>
    </row>
    <row r="33" spans="1:15" ht="21.75" customHeight="1">
      <c r="A33" s="8"/>
      <c r="C33" s="53" t="str">
        <f>IF(COUNTA(D33:J33)=0,"",ROW()-7)</f>
        <v/>
      </c>
      <c r="D33" s="54"/>
      <c r="E33" s="51"/>
      <c r="F33" s="55"/>
      <c r="G33" s="51"/>
      <c r="H33" s="56"/>
      <c r="I33" s="56"/>
      <c r="J33" s="57"/>
      <c r="K33" s="58" t="str">
        <f>IF(ISNUMBER(D33),RIGHT("0"&amp;MONTH(D33),2)&amp;"/"&amp;YEAR(D33),"")</f>
        <v/>
      </c>
      <c r="L33" s="23" t="str">
        <f>IF(G33="","",IFERROR(VLOOKUP(G33,GUIA!$C$16:$E$25,2,FALSE()),"Tipo não cadastrado"))</f>
        <v/>
      </c>
      <c r="M33" s="23" t="str">
        <f>IF(G33="","",IFERROR(VLOOKUP(G33,GUIA!$C$16:$E$25,3,FALSE()),"—"))</f>
        <v/>
      </c>
      <c r="N33" s="59" t="str">
        <f ca="1">IF(ISNUMBER(D33),IF(D33&gt;TODAY(),0,DATEDIF(D33,TODAY(),"D")),"")</f>
        <v/>
      </c>
      <c r="O33" s="60" t="str">
        <f>IF(COUNTA(D33:J33)=0,"",IF(OR(D33="",E33="",F33="",G33="",H33=""),"Incompleto",IF(I33&gt;H33,"IR &gt; valor",IF(YEAR(D33)&lt;&gt;$D$4,"Fora do ano-base",IF(J33="Não","Sem comprovante","OK")))))</f>
        <v/>
      </c>
    </row>
    <row r="34" spans="1:15" ht="21.75" customHeight="1">
      <c r="A34" s="8"/>
      <c r="C34" s="53" t="str">
        <f>IF(COUNTA(D34:J34)=0,"",ROW()-7)</f>
        <v/>
      </c>
      <c r="D34" s="54"/>
      <c r="E34" s="51"/>
      <c r="F34" s="55"/>
      <c r="G34" s="51"/>
      <c r="H34" s="56"/>
      <c r="I34" s="56"/>
      <c r="J34" s="57"/>
      <c r="K34" s="58" t="str">
        <f>IF(ISNUMBER(D34),RIGHT("0"&amp;MONTH(D34),2)&amp;"/"&amp;YEAR(D34),"")</f>
        <v/>
      </c>
      <c r="L34" s="23" t="str">
        <f>IF(G34="","",IFERROR(VLOOKUP(G34,GUIA!$C$16:$E$25,2,FALSE()),"Tipo não cadastrado"))</f>
        <v/>
      </c>
      <c r="M34" s="23" t="str">
        <f>IF(G34="","",IFERROR(VLOOKUP(G34,GUIA!$C$16:$E$25,3,FALSE()),"—"))</f>
        <v/>
      </c>
      <c r="N34" s="59" t="str">
        <f ca="1">IF(ISNUMBER(D34),IF(D34&gt;TODAY(),0,DATEDIF(D34,TODAY(),"D")),"")</f>
        <v/>
      </c>
      <c r="O34" s="60" t="str">
        <f>IF(COUNTA(D34:J34)=0,"",IF(OR(D34="",E34="",F34="",G34="",H34=""),"Incompleto",IF(I34&gt;H34,"IR &gt; valor",IF(YEAR(D34)&lt;&gt;$D$4,"Fora do ano-base",IF(J34="Não","Sem comprovante","OK")))))</f>
        <v/>
      </c>
    </row>
    <row r="35" spans="1:15" ht="21.75" customHeight="1">
      <c r="A35" s="8"/>
      <c r="C35" s="53" t="str">
        <f>IF(COUNTA(D35:J35)=0,"",ROW()-7)</f>
        <v/>
      </c>
      <c r="D35" s="54"/>
      <c r="E35" s="51"/>
      <c r="F35" s="55"/>
      <c r="G35" s="51"/>
      <c r="H35" s="56"/>
      <c r="I35" s="56"/>
      <c r="J35" s="57"/>
      <c r="K35" s="58" t="str">
        <f>IF(ISNUMBER(D35),RIGHT("0"&amp;MONTH(D35),2)&amp;"/"&amp;YEAR(D35),"")</f>
        <v/>
      </c>
      <c r="L35" s="23" t="str">
        <f>IF(G35="","",IFERROR(VLOOKUP(G35,GUIA!$C$16:$E$25,2,FALSE()),"Tipo não cadastrado"))</f>
        <v/>
      </c>
      <c r="M35" s="23" t="str">
        <f>IF(G35="","",IFERROR(VLOOKUP(G35,GUIA!$C$16:$E$25,3,FALSE()),"—"))</f>
        <v/>
      </c>
      <c r="N35" s="59" t="str">
        <f ca="1">IF(ISNUMBER(D35),IF(D35&gt;TODAY(),0,DATEDIF(D35,TODAY(),"D")),"")</f>
        <v/>
      </c>
      <c r="O35" s="60" t="str">
        <f>IF(COUNTA(D35:J35)=0,"",IF(OR(D35="",E35="",F35="",G35="",H35=""),"Incompleto",IF(I35&gt;H35,"IR &gt; valor",IF(YEAR(D35)&lt;&gt;$D$4,"Fora do ano-base",IF(J35="Não","Sem comprovante","OK")))))</f>
        <v/>
      </c>
    </row>
    <row r="36" spans="1:15" ht="21.75" customHeight="1">
      <c r="A36" s="8"/>
      <c r="C36" s="53" t="str">
        <f>IF(COUNTA(D36:J36)=0,"",ROW()-7)</f>
        <v/>
      </c>
      <c r="D36" s="54"/>
      <c r="E36" s="51"/>
      <c r="F36" s="55"/>
      <c r="G36" s="51"/>
      <c r="H36" s="56"/>
      <c r="I36" s="56"/>
      <c r="J36" s="57"/>
      <c r="K36" s="58" t="str">
        <f>IF(ISNUMBER(D36),RIGHT("0"&amp;MONTH(D36),2)&amp;"/"&amp;YEAR(D36),"")</f>
        <v/>
      </c>
      <c r="L36" s="23" t="str">
        <f>IF(G36="","",IFERROR(VLOOKUP(G36,GUIA!$C$16:$E$25,2,FALSE()),"Tipo não cadastrado"))</f>
        <v/>
      </c>
      <c r="M36" s="23" t="str">
        <f>IF(G36="","",IFERROR(VLOOKUP(G36,GUIA!$C$16:$E$25,3,FALSE()),"—"))</f>
        <v/>
      </c>
      <c r="N36" s="59" t="str">
        <f ca="1">IF(ISNUMBER(D36),IF(D36&gt;TODAY(),0,DATEDIF(D36,TODAY(),"D")),"")</f>
        <v/>
      </c>
      <c r="O36" s="60" t="str">
        <f>IF(COUNTA(D36:J36)=0,"",IF(OR(D36="",E36="",F36="",G36="",H36=""),"Incompleto",IF(I36&gt;H36,"IR &gt; valor",IF(YEAR(D36)&lt;&gt;$D$4,"Fora do ano-base",IF(J36="Não","Sem comprovante","OK")))))</f>
        <v/>
      </c>
    </row>
    <row r="37" spans="1:15" ht="21.75" customHeight="1">
      <c r="A37" s="8"/>
      <c r="C37" s="53" t="str">
        <f>IF(COUNTA(D37:J37)=0,"",ROW()-7)</f>
        <v/>
      </c>
      <c r="D37" s="54"/>
      <c r="E37" s="51"/>
      <c r="F37" s="55"/>
      <c r="G37" s="51"/>
      <c r="H37" s="56"/>
      <c r="I37" s="56"/>
      <c r="J37" s="57"/>
      <c r="K37" s="58" t="str">
        <f>IF(ISNUMBER(D37),RIGHT("0"&amp;MONTH(D37),2)&amp;"/"&amp;YEAR(D37),"")</f>
        <v/>
      </c>
      <c r="L37" s="23" t="str">
        <f>IF(G37="","",IFERROR(VLOOKUP(G37,GUIA!$C$16:$E$25,2,FALSE()),"Tipo não cadastrado"))</f>
        <v/>
      </c>
      <c r="M37" s="23" t="str">
        <f>IF(G37="","",IFERROR(VLOOKUP(G37,GUIA!$C$16:$E$25,3,FALSE()),"—"))</f>
        <v/>
      </c>
      <c r="N37" s="59" t="str">
        <f ca="1">IF(ISNUMBER(D37),IF(D37&gt;TODAY(),0,DATEDIF(D37,TODAY(),"D")),"")</f>
        <v/>
      </c>
      <c r="O37" s="60" t="str">
        <f>IF(COUNTA(D37:J37)=0,"",IF(OR(D37="",E37="",F37="",G37="",H37=""),"Incompleto",IF(I37&gt;H37,"IR &gt; valor",IF(YEAR(D37)&lt;&gt;$D$4,"Fora do ano-base",IF(J37="Não","Sem comprovante","OK")))))</f>
        <v/>
      </c>
    </row>
    <row r="38" spans="1:15" ht="21.75" customHeight="1">
      <c r="A38" s="8"/>
      <c r="G38" s="24" t="s">
        <v>64</v>
      </c>
      <c r="H38" s="25">
        <f>SUBTOTAL(109,H8:H37)</f>
        <v>6860.9</v>
      </c>
      <c r="I38" s="25">
        <f>SUBTOTAL(109,I8:I37)</f>
        <v>568</v>
      </c>
    </row>
    <row r="39" spans="1:15" ht="21.75" customHeight="1">
      <c r="A39" s="8"/>
    </row>
    <row r="40" spans="1:15" ht="21.75" customHeight="1">
      <c r="A40" s="8"/>
      <c r="D40" s="17" t="s">
        <v>65</v>
      </c>
    </row>
    <row r="41" spans="1:15" ht="21.75" customHeight="1">
      <c r="A41" s="8"/>
      <c r="D41" s="18" t="s">
        <v>66</v>
      </c>
    </row>
    <row r="42" spans="1:15" ht="21.75" customHeight="1">
      <c r="A42" s="8"/>
      <c r="D42" s="18" t="s">
        <v>67</v>
      </c>
    </row>
    <row r="43" spans="1:15" ht="21.75" customHeight="1">
      <c r="A43" s="8"/>
      <c r="D43" s="18" t="s">
        <v>68</v>
      </c>
    </row>
    <row r="44" spans="1:15" ht="21.75" customHeight="1">
      <c r="A44" s="8"/>
    </row>
    <row r="45" spans="1:15" ht="21.75" customHeight="1">
      <c r="A45" s="8"/>
    </row>
    <row r="46" spans="1:15" ht="21.75" customHeight="1">
      <c r="A46" s="8"/>
    </row>
    <row r="47" spans="1:15" ht="21.75" customHeight="1">
      <c r="A47" s="8"/>
    </row>
    <row r="48" spans="1:15" ht="21.75" customHeight="1">
      <c r="A48" s="8"/>
    </row>
    <row r="49" spans="1:1" ht="21.75" customHeight="1">
      <c r="A49" s="8"/>
    </row>
    <row r="50" spans="1:1">
      <c r="A50" s="8"/>
    </row>
    <row r="51" spans="1:1">
      <c r="A51" s="8"/>
    </row>
    <row r="52" spans="1:1">
      <c r="A52" s="8"/>
    </row>
    <row r="53" spans="1:1">
      <c r="A53" s="8"/>
    </row>
    <row r="54" spans="1:1">
      <c r="A54" s="8"/>
    </row>
    <row r="55" spans="1:1">
      <c r="A55" s="8"/>
    </row>
    <row r="56" spans="1:1">
      <c r="A56" s="8"/>
    </row>
    <row r="57" spans="1:1">
      <c r="A57" s="8"/>
    </row>
    <row r="58" spans="1:1">
      <c r="A58" s="8"/>
    </row>
    <row r="59" spans="1:1">
      <c r="A59" s="8"/>
    </row>
    <row r="60" spans="1:1">
      <c r="A60" s="8"/>
    </row>
    <row r="61" spans="1:1">
      <c r="A61" s="8"/>
    </row>
    <row r="62" spans="1:1">
      <c r="A62" s="8"/>
    </row>
    <row r="63" spans="1:1">
      <c r="A63" s="8"/>
    </row>
    <row r="64" spans="1:1">
      <c r="A64" s="8"/>
    </row>
    <row r="65" spans="1:1">
      <c r="A65" s="8"/>
    </row>
    <row r="66" spans="1:1">
      <c r="A66" s="8"/>
    </row>
    <row r="67" spans="1:1">
      <c r="A67" s="8"/>
    </row>
    <row r="68" spans="1:1">
      <c r="A68" s="8"/>
    </row>
    <row r="69" spans="1:1">
      <c r="A69" s="8"/>
    </row>
    <row r="70" spans="1:1">
      <c r="A70" s="8"/>
    </row>
    <row r="71" spans="1:1">
      <c r="A71" s="8"/>
    </row>
    <row r="72" spans="1:1">
      <c r="A72" s="8"/>
    </row>
    <row r="73" spans="1:1">
      <c r="A73" s="8"/>
    </row>
    <row r="74" spans="1:1">
      <c r="A74" s="8"/>
    </row>
    <row r="75" spans="1:1">
      <c r="A75" s="8"/>
    </row>
    <row r="76" spans="1:1">
      <c r="A76" s="8"/>
    </row>
    <row r="77" spans="1:1">
      <c r="A77" s="8"/>
    </row>
    <row r="78" spans="1:1">
      <c r="A78" s="8"/>
    </row>
    <row r="79" spans="1:1">
      <c r="A79" s="8"/>
    </row>
    <row r="80" spans="1:1">
      <c r="A80" s="8"/>
    </row>
    <row r="81" spans="1:1">
      <c r="A81" s="8"/>
    </row>
    <row r="82" spans="1:1">
      <c r="A82" s="8"/>
    </row>
    <row r="83" spans="1:1">
      <c r="A83" s="8"/>
    </row>
    <row r="84" spans="1:1">
      <c r="A84" s="8"/>
    </row>
    <row r="85" spans="1:1">
      <c r="A85" s="8"/>
    </row>
    <row r="86" spans="1:1">
      <c r="A86" s="8"/>
    </row>
    <row r="87" spans="1:1">
      <c r="A87" s="8"/>
    </row>
    <row r="88" spans="1:1">
      <c r="A88" s="8"/>
    </row>
    <row r="89" spans="1:1">
      <c r="A89" s="8"/>
    </row>
    <row r="90" spans="1:1">
      <c r="A90" s="8"/>
    </row>
    <row r="91" spans="1:1">
      <c r="A91" s="8"/>
    </row>
    <row r="92" spans="1:1">
      <c r="A92" s="8"/>
    </row>
    <row r="93" spans="1:1">
      <c r="A93" s="8"/>
    </row>
    <row r="94" spans="1:1">
      <c r="A94" s="8"/>
    </row>
    <row r="95" spans="1:1">
      <c r="A95" s="8"/>
    </row>
    <row r="96" spans="1:1">
      <c r="A96" s="8"/>
    </row>
    <row r="97" spans="1:1">
      <c r="A97" s="8"/>
    </row>
    <row r="98" spans="1:1">
      <c r="A98" s="8"/>
    </row>
    <row r="99" spans="1:1">
      <c r="A99" s="8"/>
    </row>
    <row r="100" spans="1:1">
      <c r="A100" s="8"/>
    </row>
    <row r="101" spans="1:1">
      <c r="A101" s="8"/>
    </row>
    <row r="102" spans="1:1">
      <c r="A102" s="8"/>
    </row>
    <row r="103" spans="1:1">
      <c r="A103" s="8"/>
    </row>
    <row r="104" spans="1:1">
      <c r="A104" s="8"/>
    </row>
    <row r="105" spans="1:1">
      <c r="A105" s="8"/>
    </row>
    <row r="106" spans="1:1">
      <c r="A106" s="8"/>
    </row>
    <row r="107" spans="1:1">
      <c r="A107" s="8"/>
    </row>
    <row r="108" spans="1:1">
      <c r="A108" s="8"/>
    </row>
    <row r="109" spans="1:1">
      <c r="A109" s="8"/>
    </row>
    <row r="110" spans="1:1">
      <c r="A110" s="8"/>
    </row>
    <row r="111" spans="1:1">
      <c r="A111" s="8"/>
    </row>
    <row r="112" spans="1:1">
      <c r="A112" s="8"/>
    </row>
    <row r="113" spans="1:1">
      <c r="A113" s="8"/>
    </row>
    <row r="114" spans="1:1">
      <c r="A114" s="8"/>
    </row>
    <row r="115" spans="1:1">
      <c r="A115" s="8"/>
    </row>
    <row r="116" spans="1:1">
      <c r="A116" s="8"/>
    </row>
    <row r="117" spans="1:1">
      <c r="A117" s="8"/>
    </row>
    <row r="118" spans="1:1">
      <c r="A118" s="8"/>
    </row>
    <row r="119" spans="1:1">
      <c r="A119" s="8"/>
    </row>
    <row r="120" spans="1:1">
      <c r="A120" s="8"/>
    </row>
    <row r="121" spans="1:1">
      <c r="A121" s="8"/>
    </row>
    <row r="122" spans="1:1">
      <c r="A122" s="8"/>
    </row>
    <row r="123" spans="1:1">
      <c r="A123" s="8"/>
    </row>
    <row r="124" spans="1:1">
      <c r="A124" s="8"/>
    </row>
    <row r="125" spans="1:1">
      <c r="A125" s="8"/>
    </row>
    <row r="126" spans="1:1">
      <c r="A126" s="8"/>
    </row>
    <row r="127" spans="1:1">
      <c r="A127" s="8"/>
    </row>
    <row r="128" spans="1:1">
      <c r="A128" s="8"/>
    </row>
    <row r="129" spans="1:1">
      <c r="A129" s="8"/>
    </row>
    <row r="130" spans="1:1">
      <c r="A130" s="8"/>
    </row>
    <row r="131" spans="1:1">
      <c r="A131" s="8"/>
    </row>
    <row r="132" spans="1:1">
      <c r="A132" s="8"/>
    </row>
    <row r="133" spans="1:1">
      <c r="A133" s="8"/>
    </row>
    <row r="134" spans="1:1">
      <c r="A134" s="8"/>
    </row>
    <row r="135" spans="1:1">
      <c r="A135" s="8"/>
    </row>
    <row r="136" spans="1:1">
      <c r="A136" s="8"/>
    </row>
    <row r="137" spans="1:1">
      <c r="A137" s="8"/>
    </row>
    <row r="138" spans="1:1">
      <c r="A138" s="8"/>
    </row>
    <row r="139" spans="1:1">
      <c r="A139" s="8"/>
    </row>
    <row r="140" spans="1:1">
      <c r="A140" s="8"/>
    </row>
    <row r="141" spans="1:1">
      <c r="A141" s="8"/>
    </row>
    <row r="142" spans="1:1">
      <c r="A142" s="8"/>
    </row>
    <row r="143" spans="1:1">
      <c r="A143" s="8"/>
    </row>
    <row r="144" spans="1:1">
      <c r="A144" s="8"/>
    </row>
    <row r="145" spans="1:1">
      <c r="A145" s="8"/>
    </row>
    <row r="146" spans="1:1">
      <c r="A146" s="8"/>
    </row>
    <row r="147" spans="1:1">
      <c r="A147" s="8"/>
    </row>
    <row r="148" spans="1:1">
      <c r="A148" s="8"/>
    </row>
    <row r="149" spans="1:1">
      <c r="A149" s="8"/>
    </row>
    <row r="150" spans="1:1">
      <c r="A150" s="8"/>
    </row>
  </sheetData>
  <autoFilter ref="C7:O37" xr:uid="{00000000-0009-0000-0000-000001000000}"/>
  <conditionalFormatting sqref="O8:O37">
    <cfRule type="expression" dxfId="13" priority="2">
      <formula>O8="OK"</formula>
    </cfRule>
    <cfRule type="expression" dxfId="12" priority="3">
      <formula>O8="Incompleto"</formula>
    </cfRule>
    <cfRule type="expression" dxfId="11" priority="4">
      <formula>O8="Fora do ano-base"</formula>
    </cfRule>
    <cfRule type="expression" dxfId="10" priority="5">
      <formula>O8="Sem comprovante"</formula>
    </cfRule>
    <cfRule type="expression" dxfId="9" priority="6">
      <formula>O8="IR &gt; valor"</formula>
    </cfRule>
  </conditionalFormatting>
  <conditionalFormatting sqref="J8:J37">
    <cfRule type="expression" dxfId="8" priority="7">
      <formula>J8="Sim"</formula>
    </cfRule>
    <cfRule type="expression" dxfId="7" priority="8">
      <formula>J8="Não"</formula>
    </cfRule>
  </conditionalFormatting>
  <conditionalFormatting sqref="D8:D37">
    <cfRule type="expression" dxfId="6" priority="9">
      <formula>AND(ISNUMBER($D8),YEAR($D8)&lt;&gt;$D$4)</formula>
    </cfRule>
  </conditionalFormatting>
  <conditionalFormatting sqref="I8:I37">
    <cfRule type="expression" dxfId="5" priority="10">
      <formula>AND(ISNUMBER($I8),ISNUMBER($H8),$I8&gt;$H8)</formula>
    </cfRule>
  </conditionalFormatting>
  <dataValidations count="5">
    <dataValidation type="whole" showInputMessage="1" showErrorMessage="1" errorTitle="Ano-base" error="Digite um ano com 4 dígitos, ex.: 2026." promptTitle="Ano-base" prompt="Ano em que você recebeu os rendimentos." sqref="D4" xr:uid="{00000000-0002-0000-0100-000000000000}">
      <formula1>2000</formula1>
      <formula2>2100</formula2>
    </dataValidation>
    <dataValidation type="date" operator="greaterThanOrEqual" allowBlank="1" showInputMessage="1" showErrorMessage="1" errorTitle="Data" error="Digite uma data válida (dd/mm/aaaa)." promptTitle="Data" prompt="Data do recebimento, dd/mm/aaaa." sqref="D8:D37" xr:uid="{00000000-0002-0000-0100-000001000000}">
      <formula1>36526</formula1>
      <formula2>0</formula2>
    </dataValidation>
    <dataValidation type="whole" allowBlank="1" showInputMessage="1" showErrorMessage="1" errorTitle="CNPJ" error="Digite só os 14 números do CNPJ." promptTitle="CNPJ" prompt="Só números. A máscara 00.000.000/0000-00 é automática." sqref="F8:F37" xr:uid="{00000000-0002-0000-0100-000002000000}">
      <formula1>1</formula1>
      <formula2>99999999999999</formula2>
    </dataValidation>
    <dataValidation type="decimal" operator="greaterThanOrEqual" allowBlank="1" showErrorMessage="1" errorTitle="Valor" error="Digite um valor maior ou igual a zero." sqref="H8:I37" xr:uid="{00000000-0002-0000-0100-000004000000}">
      <formula1>0</formula1>
      <formula2>0</formula2>
    </dataValidation>
    <dataValidation type="list" allowBlank="1" showInputMessage="1" showErrorMessage="1" errorTitle="Valor inválido" error="Escolha Sim ou Não na lista." promptTitle="Comprovante em mãos?" prompt="Clique na seta e escolha Sim ou Não." sqref="J8:J37" xr:uid="{00000000-0002-0000-0100-000005000000}">
      <formula1>"Sim,Não"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Tipo" error="Escolha um tipo da lista (editável na aba GUIA)." promptTitle="Tipo de rendimento" prompt="A ficha do IRPF aparece sozinha ao lado." xr:uid="{00000000-0002-0000-0100-000003000000}">
          <x14:formula1>
            <xm:f>GUIA!$C$16:$C$25</xm:f>
          </x14:formula1>
          <x14:formula2>
            <xm:f>0</xm:f>
          </x14:formula2>
          <xm:sqref>G8:G37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59E0B"/>
    <pageSetUpPr fitToPage="1"/>
  </sheetPr>
  <dimension ref="A1:G150"/>
  <sheetViews>
    <sheetView showGridLines="0" zoomScaleNormal="100" workbookViewId="0">
      <pane xSplit="1" topLeftCell="B9" activePane="topRight" state="frozen"/>
      <selection pane="topRight" activeCell="G16" sqref="G16"/>
      <selection activeCell="A6" sqref="A6"/>
    </sheetView>
  </sheetViews>
  <sheetFormatPr defaultColWidth="8.7109375" defaultRowHeight="15"/>
  <cols>
    <col min="1" max="1" width="26" style="1" customWidth="1"/>
    <col min="2" max="2" width="2" customWidth="1"/>
    <col min="3" max="3" width="88.140625" bestFit="1" customWidth="1"/>
    <col min="4" max="4" width="66" customWidth="1"/>
    <col min="5" max="5" width="38" customWidth="1"/>
    <col min="6" max="6" width="14" customWidth="1"/>
    <col min="7" max="7" width="18" customWidth="1"/>
    <col min="8" max="8" width="3" customWidth="1"/>
  </cols>
  <sheetData>
    <row r="1" spans="1:7" ht="39.75" customHeight="1">
      <c r="A1" s="2" t="s">
        <v>0</v>
      </c>
      <c r="C1" s="46" t="s">
        <v>69</v>
      </c>
      <c r="D1" s="47"/>
      <c r="E1" s="47"/>
      <c r="F1" s="47"/>
      <c r="G1" s="47"/>
    </row>
    <row r="2" spans="1:7" ht="19.5" customHeight="1">
      <c r="A2" s="3" t="s">
        <v>2</v>
      </c>
    </row>
    <row r="3" spans="1:7" ht="27.75" customHeight="1">
      <c r="A3" s="64" t="str">
        <f>HYPERLINK("#TITULAR!D8","TITULAR")</f>
        <v>TITULAR</v>
      </c>
      <c r="C3" s="4"/>
    </row>
    <row r="4" spans="1:7" ht="27.75" customHeight="1">
      <c r="A4" s="64" t="str">
        <f>HYPERLINK("#INFORMES!D8","INFORMES")</f>
        <v>INFORMES</v>
      </c>
      <c r="C4" s="5" t="s">
        <v>70</v>
      </c>
      <c r="D4" s="5" t="s">
        <v>71</v>
      </c>
      <c r="E4" s="5" t="s">
        <v>72</v>
      </c>
      <c r="F4" s="74"/>
      <c r="G4" s="74"/>
    </row>
    <row r="5" spans="1:7" ht="27.75" customHeight="1">
      <c r="A5" s="67" t="str">
        <f>HYPERLINK("#GUIA!C8","GUIA &amp; LINKS")</f>
        <v>GUIA &amp; LINKS</v>
      </c>
      <c r="C5" s="48">
        <v>46538</v>
      </c>
      <c r="D5" s="6" t="str">
        <f ca="1">IF(C5="","Defina o prazo",IF(TODAY()&gt;C5,"Prazo encerrado",DATEDIF(TODAY(),C5,"D")&amp;" dias"))</f>
        <v>235 dias</v>
      </c>
      <c r="E5" s="6" t="str">
        <f>COUNTIF(E31:E38,"Sim")&amp;" de "&amp;ROWS(E31:E38)</f>
        <v>2 de 8</v>
      </c>
      <c r="F5" s="74"/>
      <c r="G5" s="74"/>
    </row>
    <row r="6" spans="1:7" ht="7.5" customHeight="1">
      <c r="A6" s="8"/>
    </row>
    <row r="7" spans="1:7" ht="21.75" customHeight="1">
      <c r="A7" s="8"/>
      <c r="C7" s="9" t="s">
        <v>73</v>
      </c>
      <c r="D7" s="10"/>
      <c r="E7" s="10"/>
      <c r="F7" s="10"/>
      <c r="G7" s="10"/>
    </row>
    <row r="8" spans="1:7" ht="21.75" customHeight="1">
      <c r="A8" s="11" t="s">
        <v>5</v>
      </c>
      <c r="C8" s="50" t="s">
        <v>74</v>
      </c>
      <c r="D8" s="26" t="s">
        <v>75</v>
      </c>
    </row>
    <row r="9" spans="1:7" ht="21.75" customHeight="1">
      <c r="A9" s="14" t="str">
        <f ca="1">"Titular: "&amp;TEXT(IFERROR(COUNTIF(TITULAR!$E$8:$E$29,"OK")/(COUNTIF(TITULAR!$E$8:$E$29,"OK")+COUNTIF(TITULAR!$E$8:$E$29,"Pendente")+COUNTIF(TITULAR!$E$8:$E$29,"Inválido")),0),"0%")</f>
        <v>Titular: 100%</v>
      </c>
      <c r="C9" s="50" t="s">
        <v>76</v>
      </c>
      <c r="D9" s="26" t="s">
        <v>77</v>
      </c>
    </row>
    <row r="10" spans="1:7" ht="21.75" customHeight="1">
      <c r="A10" s="14" t="str">
        <f>"Informes: "&amp;COUNTIF(INFORMES!O8:O37,"OK")&amp;" de "&amp;COUNTA(INFORMES!E8:E37)&amp;" ok"</f>
        <v>Informes: 2 de 3 ok</v>
      </c>
      <c r="C10" s="50" t="s">
        <v>78</v>
      </c>
      <c r="D10" s="26" t="s">
        <v>79</v>
      </c>
    </row>
    <row r="11" spans="1:7" ht="21.75" customHeight="1">
      <c r="A11" s="14" t="str">
        <f>"Checklist: "&amp;GUIA!E5</f>
        <v>Checklist: 2 de 8</v>
      </c>
      <c r="C11" s="50" t="s">
        <v>80</v>
      </c>
      <c r="D11" s="26" t="s">
        <v>81</v>
      </c>
    </row>
    <row r="12" spans="1:7" ht="21.75" customHeight="1">
      <c r="A12" s="8"/>
      <c r="C12" s="50" t="s">
        <v>82</v>
      </c>
      <c r="D12" s="26" t="s">
        <v>83</v>
      </c>
    </row>
    <row r="13" spans="1:7" ht="21.75" customHeight="1">
      <c r="A13" s="8"/>
    </row>
    <row r="14" spans="1:7" ht="21.75" customHeight="1">
      <c r="A14" s="8"/>
      <c r="C14" s="9" t="s">
        <v>84</v>
      </c>
      <c r="D14" s="10"/>
      <c r="E14" s="10"/>
      <c r="F14" s="10"/>
      <c r="G14" s="10"/>
    </row>
    <row r="15" spans="1:7" ht="21.75" customHeight="1">
      <c r="A15" s="8"/>
      <c r="C15" s="49" t="s">
        <v>49</v>
      </c>
      <c r="D15" s="22" t="s">
        <v>85</v>
      </c>
      <c r="E15" s="22" t="s">
        <v>55</v>
      </c>
      <c r="F15" s="22" t="s">
        <v>86</v>
      </c>
      <c r="G15" s="22" t="s">
        <v>87</v>
      </c>
    </row>
    <row r="16" spans="1:7" ht="21.75" customHeight="1">
      <c r="A16" s="8"/>
      <c r="C16" s="43" t="s">
        <v>59</v>
      </c>
      <c r="D16" s="43" t="s">
        <v>88</v>
      </c>
      <c r="E16" s="43" t="s">
        <v>89</v>
      </c>
      <c r="F16" s="27">
        <f>COUNTIF(INFORMES!$G$8:$G$37,C16)</f>
        <v>1</v>
      </c>
      <c r="G16" s="28">
        <f>SUMIF(INFORMES!$G$8:$G$37,C16,INFORMES!$H$8:$H$37)</f>
        <v>5200</v>
      </c>
    </row>
    <row r="17" spans="1:7" ht="21.75" customHeight="1">
      <c r="A17" s="8"/>
      <c r="C17" s="43" t="s">
        <v>90</v>
      </c>
      <c r="D17" s="43" t="s">
        <v>91</v>
      </c>
      <c r="E17" s="43" t="s">
        <v>92</v>
      </c>
      <c r="F17" s="27">
        <f>COUNTIF(INFORMES!$G$8:$G$37,C17)</f>
        <v>0</v>
      </c>
      <c r="G17" s="28">
        <f>SUMIF(INFORMES!$G$8:$G$37,C17,INFORMES!$H$8:$H$37)</f>
        <v>0</v>
      </c>
    </row>
    <row r="18" spans="1:7" ht="21.75" customHeight="1">
      <c r="A18" s="8"/>
      <c r="C18" s="43" t="s">
        <v>93</v>
      </c>
      <c r="D18" s="43" t="s">
        <v>91</v>
      </c>
      <c r="E18" s="43" t="s">
        <v>92</v>
      </c>
      <c r="F18" s="27">
        <f>COUNTIF(INFORMES!$G$8:$G$37,C18)</f>
        <v>0</v>
      </c>
      <c r="G18" s="28">
        <f>SUMIF(INFORMES!$G$8:$G$37,C18,INFORMES!$H$8:$H$37)</f>
        <v>0</v>
      </c>
    </row>
    <row r="19" spans="1:7" ht="21.75" customHeight="1">
      <c r="A19" s="8"/>
      <c r="C19" s="43" t="s">
        <v>94</v>
      </c>
      <c r="D19" s="43" t="s">
        <v>95</v>
      </c>
      <c r="E19" s="43" t="s">
        <v>96</v>
      </c>
      <c r="F19" s="27">
        <f>COUNTIF(INFORMES!$G$8:$G$37,C19)</f>
        <v>0</v>
      </c>
      <c r="G19" s="28">
        <f>SUMIF(INFORMES!$G$8:$G$37,C19,INFORMES!$H$8:$H$37)</f>
        <v>0</v>
      </c>
    </row>
    <row r="20" spans="1:7" ht="21.75" customHeight="1">
      <c r="A20" s="8"/>
      <c r="C20" s="43" t="s">
        <v>63</v>
      </c>
      <c r="D20" s="43" t="s">
        <v>95</v>
      </c>
      <c r="E20" s="43" t="s">
        <v>96</v>
      </c>
      <c r="F20" s="27">
        <f>COUNTIF(INFORMES!$G$8:$G$37,C20)</f>
        <v>1</v>
      </c>
      <c r="G20" s="28">
        <f>SUMIF(INFORMES!$G$8:$G$37,C20,INFORMES!$H$8:$H$37)</f>
        <v>1250</v>
      </c>
    </row>
    <row r="21" spans="1:7" ht="21.75" customHeight="1">
      <c r="A21" s="8"/>
      <c r="C21" s="43" t="s">
        <v>61</v>
      </c>
      <c r="D21" s="43" t="s">
        <v>97</v>
      </c>
      <c r="E21" s="43" t="s">
        <v>98</v>
      </c>
      <c r="F21" s="27">
        <f>COUNTIF(INFORMES!$G$8:$G$37,C21)</f>
        <v>1</v>
      </c>
      <c r="G21" s="28">
        <f>SUMIF(INFORMES!$G$8:$G$37,C21,INFORMES!$H$8:$H$37)</f>
        <v>410.9</v>
      </c>
    </row>
    <row r="22" spans="1:7" ht="21.75" customHeight="1">
      <c r="A22" s="8"/>
      <c r="C22" s="43" t="s">
        <v>99</v>
      </c>
      <c r="D22" s="43" t="s">
        <v>97</v>
      </c>
      <c r="E22" s="43" t="s">
        <v>100</v>
      </c>
      <c r="F22" s="27">
        <f>COUNTIF(INFORMES!$G$8:$G$37,C22)</f>
        <v>0</v>
      </c>
      <c r="G22" s="28">
        <f>SUMIF(INFORMES!$G$8:$G$37,C22,INFORMES!$H$8:$H$37)</f>
        <v>0</v>
      </c>
    </row>
    <row r="23" spans="1:7" ht="21.75" customHeight="1">
      <c r="A23" s="8"/>
      <c r="C23" s="43" t="s">
        <v>101</v>
      </c>
      <c r="D23" s="43" t="s">
        <v>97</v>
      </c>
      <c r="E23" s="43" t="s">
        <v>102</v>
      </c>
      <c r="F23" s="27">
        <f>COUNTIF(INFORMES!$G$8:$G$37,C23)</f>
        <v>0</v>
      </c>
      <c r="G23" s="28">
        <f>SUMIF(INFORMES!$G$8:$G$37,C23,INFORMES!$H$8:$H$37)</f>
        <v>0</v>
      </c>
    </row>
    <row r="24" spans="1:7" ht="21.75" customHeight="1">
      <c r="A24" s="8"/>
      <c r="C24" s="43" t="s">
        <v>103</v>
      </c>
      <c r="D24" s="43" t="s">
        <v>104</v>
      </c>
      <c r="E24" s="43" t="s">
        <v>105</v>
      </c>
      <c r="F24" s="27">
        <f>COUNTIF(INFORMES!$G$8:$G$37,C24)</f>
        <v>0</v>
      </c>
      <c r="G24" s="28">
        <f>SUMIF(INFORMES!$G$8:$G$37,C24,INFORMES!$H$8:$H$37)</f>
        <v>0</v>
      </c>
    </row>
    <row r="25" spans="1:7" ht="21.75" customHeight="1">
      <c r="A25" s="8"/>
      <c r="C25" s="43" t="s">
        <v>106</v>
      </c>
      <c r="D25" s="43" t="s">
        <v>107</v>
      </c>
      <c r="E25" s="43" t="s">
        <v>108</v>
      </c>
      <c r="F25" s="27">
        <f>COUNTIF(INFORMES!$G$8:$G$37,C25)</f>
        <v>0</v>
      </c>
      <c r="G25" s="28">
        <f>SUMIF(INFORMES!$G$8:$G$37,C25,INFORMES!$H$8:$H$37)</f>
        <v>0</v>
      </c>
    </row>
    <row r="26" spans="1:7" ht="21.75" customHeight="1">
      <c r="A26" s="8"/>
      <c r="E26" s="24" t="s">
        <v>109</v>
      </c>
      <c r="F26" s="29">
        <f>SUM(F16:F25)</f>
        <v>3</v>
      </c>
      <c r="G26" s="25">
        <f>SUM(G16:G25)</f>
        <v>6860.9</v>
      </c>
    </row>
    <row r="27" spans="1:7" ht="21.75" customHeight="1">
      <c r="A27" s="8"/>
      <c r="C27" s="30"/>
    </row>
    <row r="28" spans="1:7" ht="21.75" customHeight="1">
      <c r="A28" s="8"/>
    </row>
    <row r="29" spans="1:7" ht="21.75" customHeight="1">
      <c r="A29" s="8"/>
      <c r="C29" s="9" t="s">
        <v>110</v>
      </c>
      <c r="D29" s="10"/>
      <c r="E29" s="10"/>
      <c r="F29" s="10"/>
      <c r="G29" s="10"/>
    </row>
    <row r="30" spans="1:7" ht="21.75" customHeight="1">
      <c r="A30" s="8"/>
      <c r="C30" s="22" t="s">
        <v>111</v>
      </c>
      <c r="D30" s="22" t="s">
        <v>112</v>
      </c>
      <c r="E30" s="22" t="s">
        <v>113</v>
      </c>
    </row>
    <row r="31" spans="1:7" ht="21.75" customHeight="1">
      <c r="A31" s="8"/>
      <c r="C31" s="31" t="s">
        <v>114</v>
      </c>
      <c r="D31" s="45" t="s">
        <v>115</v>
      </c>
      <c r="E31" s="16" t="s">
        <v>28</v>
      </c>
    </row>
    <row r="32" spans="1:7" ht="21.75" customHeight="1">
      <c r="A32" s="8"/>
      <c r="C32" s="31" t="s">
        <v>116</v>
      </c>
      <c r="D32" s="45" t="s">
        <v>117</v>
      </c>
      <c r="E32" s="16" t="s">
        <v>28</v>
      </c>
    </row>
    <row r="33" spans="1:5" ht="21.75" customHeight="1">
      <c r="A33" s="8"/>
      <c r="C33" s="31" t="s">
        <v>118</v>
      </c>
      <c r="D33" s="45" t="s">
        <v>119</v>
      </c>
      <c r="E33" s="16" t="s">
        <v>30</v>
      </c>
    </row>
    <row r="34" spans="1:5" ht="21.75" customHeight="1">
      <c r="A34" s="8"/>
      <c r="C34" s="31" t="s">
        <v>120</v>
      </c>
      <c r="D34" s="45" t="s">
        <v>121</v>
      </c>
      <c r="E34" s="44"/>
    </row>
    <row r="35" spans="1:5" ht="21.75" customHeight="1">
      <c r="A35" s="8"/>
      <c r="C35" s="31" t="s">
        <v>122</v>
      </c>
      <c r="D35" s="45" t="s">
        <v>123</v>
      </c>
      <c r="E35" s="44"/>
    </row>
    <row r="36" spans="1:5" ht="21.75" customHeight="1">
      <c r="A36" s="8"/>
      <c r="C36" s="31" t="s">
        <v>124</v>
      </c>
      <c r="D36" s="45" t="s">
        <v>125</v>
      </c>
      <c r="E36" s="44"/>
    </row>
    <row r="37" spans="1:5" ht="21.75" customHeight="1">
      <c r="A37" s="8"/>
      <c r="C37" s="31" t="s">
        <v>126</v>
      </c>
      <c r="D37" s="45" t="s">
        <v>127</v>
      </c>
      <c r="E37" s="44"/>
    </row>
    <row r="38" spans="1:5" ht="21.75" customHeight="1">
      <c r="A38" s="8"/>
      <c r="C38" s="31" t="s">
        <v>128</v>
      </c>
      <c r="D38" s="45" t="s">
        <v>129</v>
      </c>
      <c r="E38" s="44"/>
    </row>
    <row r="39" spans="1:5" ht="21.75" customHeight="1">
      <c r="A39" s="8"/>
    </row>
    <row r="40" spans="1:5" ht="21.75" customHeight="1">
      <c r="A40" s="8"/>
      <c r="C40" s="17"/>
    </row>
    <row r="41" spans="1:5" ht="21.75" customHeight="1">
      <c r="A41" s="8"/>
      <c r="C41" s="18"/>
    </row>
    <row r="42" spans="1:5" ht="21.75" customHeight="1">
      <c r="A42" s="8"/>
      <c r="C42" s="18"/>
    </row>
    <row r="43" spans="1:5" ht="21.75" customHeight="1">
      <c r="A43" s="8"/>
    </row>
    <row r="44" spans="1:5" ht="21.75" customHeight="1">
      <c r="A44" s="8"/>
    </row>
    <row r="45" spans="1:5" ht="21.75" customHeight="1">
      <c r="A45" s="8"/>
    </row>
    <row r="46" spans="1:5" ht="21.75" customHeight="1">
      <c r="A46" s="8"/>
    </row>
    <row r="47" spans="1:5" ht="21.75" customHeight="1">
      <c r="A47" s="8"/>
    </row>
    <row r="48" spans="1:5" ht="21.75" customHeight="1">
      <c r="A48" s="8"/>
    </row>
    <row r="49" spans="1:1" ht="21.75" customHeight="1">
      <c r="A49" s="8"/>
    </row>
    <row r="50" spans="1:1">
      <c r="A50" s="8"/>
    </row>
    <row r="51" spans="1:1">
      <c r="A51" s="8"/>
    </row>
    <row r="52" spans="1:1">
      <c r="A52" s="8"/>
    </row>
    <row r="53" spans="1:1">
      <c r="A53" s="8"/>
    </row>
    <row r="54" spans="1:1">
      <c r="A54" s="8"/>
    </row>
    <row r="55" spans="1:1">
      <c r="A55" s="8"/>
    </row>
    <row r="56" spans="1:1">
      <c r="A56" s="8"/>
    </row>
    <row r="57" spans="1:1">
      <c r="A57" s="8"/>
    </row>
    <row r="58" spans="1:1">
      <c r="A58" s="8"/>
    </row>
    <row r="59" spans="1:1">
      <c r="A59" s="8"/>
    </row>
    <row r="60" spans="1:1">
      <c r="A60" s="8"/>
    </row>
    <row r="61" spans="1:1">
      <c r="A61" s="8"/>
    </row>
    <row r="62" spans="1:1">
      <c r="A62" s="8"/>
    </row>
    <row r="63" spans="1:1">
      <c r="A63" s="8"/>
    </row>
    <row r="64" spans="1:1">
      <c r="A64" s="8"/>
    </row>
    <row r="65" spans="1:1">
      <c r="A65" s="8"/>
    </row>
    <row r="66" spans="1:1">
      <c r="A66" s="8"/>
    </row>
    <row r="67" spans="1:1">
      <c r="A67" s="8"/>
    </row>
    <row r="68" spans="1:1">
      <c r="A68" s="8"/>
    </row>
    <row r="69" spans="1:1">
      <c r="A69" s="8"/>
    </row>
    <row r="70" spans="1:1">
      <c r="A70" s="8"/>
    </row>
    <row r="71" spans="1:1">
      <c r="A71" s="8"/>
    </row>
    <row r="72" spans="1:1">
      <c r="A72" s="8"/>
    </row>
    <row r="73" spans="1:1">
      <c r="A73" s="8"/>
    </row>
    <row r="74" spans="1:1">
      <c r="A74" s="8"/>
    </row>
    <row r="75" spans="1:1">
      <c r="A75" s="8"/>
    </row>
    <row r="76" spans="1:1">
      <c r="A76" s="8"/>
    </row>
    <row r="77" spans="1:1">
      <c r="A77" s="8"/>
    </row>
    <row r="78" spans="1:1">
      <c r="A78" s="8"/>
    </row>
    <row r="79" spans="1:1">
      <c r="A79" s="8"/>
    </row>
    <row r="80" spans="1:1">
      <c r="A80" s="8"/>
    </row>
    <row r="81" spans="1:1">
      <c r="A81" s="8"/>
    </row>
    <row r="82" spans="1:1">
      <c r="A82" s="8"/>
    </row>
    <row r="83" spans="1:1">
      <c r="A83" s="8"/>
    </row>
    <row r="84" spans="1:1">
      <c r="A84" s="8"/>
    </row>
    <row r="85" spans="1:1">
      <c r="A85" s="8"/>
    </row>
    <row r="86" spans="1:1">
      <c r="A86" s="8"/>
    </row>
    <row r="87" spans="1:1">
      <c r="A87" s="8"/>
    </row>
    <row r="88" spans="1:1">
      <c r="A88" s="8"/>
    </row>
    <row r="89" spans="1:1">
      <c r="A89" s="8"/>
    </row>
    <row r="90" spans="1:1">
      <c r="A90" s="8"/>
    </row>
    <row r="91" spans="1:1">
      <c r="A91" s="8"/>
    </row>
    <row r="92" spans="1:1">
      <c r="A92" s="8"/>
    </row>
    <row r="93" spans="1:1">
      <c r="A93" s="8"/>
    </row>
    <row r="94" spans="1:1">
      <c r="A94" s="8"/>
    </row>
    <row r="95" spans="1:1">
      <c r="A95" s="8"/>
    </row>
    <row r="96" spans="1:1">
      <c r="A96" s="8"/>
    </row>
    <row r="97" spans="1:1">
      <c r="A97" s="8"/>
    </row>
    <row r="98" spans="1:1">
      <c r="A98" s="8"/>
    </row>
    <row r="99" spans="1:1">
      <c r="A99" s="8"/>
    </row>
    <row r="100" spans="1:1">
      <c r="A100" s="8"/>
    </row>
    <row r="101" spans="1:1">
      <c r="A101" s="8"/>
    </row>
    <row r="102" spans="1:1">
      <c r="A102" s="8"/>
    </row>
    <row r="103" spans="1:1">
      <c r="A103" s="8"/>
    </row>
    <row r="104" spans="1:1">
      <c r="A104" s="8"/>
    </row>
    <row r="105" spans="1:1">
      <c r="A105" s="8"/>
    </row>
    <row r="106" spans="1:1">
      <c r="A106" s="8"/>
    </row>
    <row r="107" spans="1:1">
      <c r="A107" s="8"/>
    </row>
    <row r="108" spans="1:1">
      <c r="A108" s="8"/>
    </row>
    <row r="109" spans="1:1">
      <c r="A109" s="8"/>
    </row>
    <row r="110" spans="1:1">
      <c r="A110" s="8"/>
    </row>
    <row r="111" spans="1:1">
      <c r="A111" s="8"/>
    </row>
    <row r="112" spans="1:1">
      <c r="A112" s="8"/>
    </row>
    <row r="113" spans="1:1">
      <c r="A113" s="8"/>
    </row>
    <row r="114" spans="1:1">
      <c r="A114" s="8"/>
    </row>
    <row r="115" spans="1:1">
      <c r="A115" s="8"/>
    </row>
    <row r="116" spans="1:1">
      <c r="A116" s="8"/>
    </row>
    <row r="117" spans="1:1">
      <c r="A117" s="8"/>
    </row>
    <row r="118" spans="1:1">
      <c r="A118" s="8"/>
    </row>
    <row r="119" spans="1:1">
      <c r="A119" s="8"/>
    </row>
    <row r="120" spans="1:1">
      <c r="A120" s="8"/>
    </row>
    <row r="121" spans="1:1">
      <c r="A121" s="8"/>
    </row>
    <row r="122" spans="1:1">
      <c r="A122" s="8"/>
    </row>
    <row r="123" spans="1:1">
      <c r="A123" s="8"/>
    </row>
    <row r="124" spans="1:1">
      <c r="A124" s="8"/>
    </row>
    <row r="125" spans="1:1">
      <c r="A125" s="8"/>
    </row>
    <row r="126" spans="1:1">
      <c r="A126" s="8"/>
    </row>
    <row r="127" spans="1:1">
      <c r="A127" s="8"/>
    </row>
    <row r="128" spans="1:1">
      <c r="A128" s="8"/>
    </row>
    <row r="129" spans="1:1">
      <c r="A129" s="8"/>
    </row>
    <row r="130" spans="1:1">
      <c r="A130" s="8"/>
    </row>
    <row r="131" spans="1:1">
      <c r="A131" s="8"/>
    </row>
    <row r="132" spans="1:1">
      <c r="A132" s="8"/>
    </row>
    <row r="133" spans="1:1">
      <c r="A133" s="8"/>
    </row>
    <row r="134" spans="1:1">
      <c r="A134" s="8"/>
    </row>
    <row r="135" spans="1:1">
      <c r="A135" s="8"/>
    </row>
    <row r="136" spans="1:1">
      <c r="A136" s="8"/>
    </row>
    <row r="137" spans="1:1">
      <c r="A137" s="8"/>
    </row>
    <row r="138" spans="1:1">
      <c r="A138" s="8"/>
    </row>
    <row r="139" spans="1:1">
      <c r="A139" s="8"/>
    </row>
    <row r="140" spans="1:1">
      <c r="A140" s="8"/>
    </row>
    <row r="141" spans="1:1">
      <c r="A141" s="8"/>
    </row>
    <row r="142" spans="1:1">
      <c r="A142" s="8"/>
    </row>
    <row r="143" spans="1:1">
      <c r="A143" s="8"/>
    </row>
    <row r="144" spans="1:1">
      <c r="A144" s="8"/>
    </row>
    <row r="145" spans="1:1">
      <c r="A145" s="8"/>
    </row>
    <row r="146" spans="1:1">
      <c r="A146" s="8"/>
    </row>
    <row r="147" spans="1:1">
      <c r="A147" s="8"/>
    </row>
    <row r="148" spans="1:1">
      <c r="A148" s="8"/>
    </row>
    <row r="149" spans="1:1">
      <c r="A149" s="8"/>
    </row>
    <row r="150" spans="1:1">
      <c r="A150" s="8"/>
    </row>
  </sheetData>
  <mergeCells count="1">
    <mergeCell ref="F4:G5"/>
  </mergeCells>
  <conditionalFormatting sqref="D5">
    <cfRule type="expression" dxfId="4" priority="2">
      <formula>AND(ISNUMBER($C$5),$C$5&gt;=TODAY(),$C$5-TODAY()&lt;=30)</formula>
    </cfRule>
    <cfRule type="expression" dxfId="3" priority="3">
      <formula>AND(ISNUMBER($C$5),$C$5&gt;=TODAY(),$C$5-TODAY()&lt;=60)</formula>
    </cfRule>
    <cfRule type="expression" dxfId="2" priority="4">
      <formula>AND(ISNUMBER($C$5),$C$5&lt;TODAY())</formula>
    </cfRule>
  </conditionalFormatting>
  <conditionalFormatting sqref="E31:E38">
    <cfRule type="expression" dxfId="1" priority="5">
      <formula>E31="Sim"</formula>
    </cfRule>
    <cfRule type="expression" dxfId="0" priority="6">
      <formula>E31="Não"</formula>
    </cfRule>
  </conditionalFormatting>
  <dataValidations count="2">
    <dataValidation type="date" operator="greaterThanOrEqual" allowBlank="1" showInputMessage="1" showErrorMessage="1" errorTitle="Prazo" error="Digite uma data válida (dd/mm/aaaa)." promptTitle="Prazo" prompt="Confira a data no calendário oficial da Receita." sqref="C5" xr:uid="{00000000-0002-0000-0200-000000000000}">
      <formula1>36526</formula1>
      <formula2>0</formula2>
    </dataValidation>
    <dataValidation type="list" allowBlank="1" showInputMessage="1" showErrorMessage="1" errorTitle="Valor inválido" error="Escolha Sim ou Não na lista." promptTitle="Tenho o documento?" prompt="Clique na seta e escolha Sim ou Não." sqref="E31:E38" xr:uid="{00000000-0002-0000-0200-000001000000}">
      <formula1>"Sim,Não"</formula1>
      <formula2>0</formula2>
    </dataValidation>
  </dataValidations>
  <hyperlinks>
    <hyperlink ref="C8" r:id="rId1" xr:uid="{00000000-0004-0000-0200-000000000000}"/>
    <hyperlink ref="C9" r:id="rId2" xr:uid="{00000000-0004-0000-0200-000001000000}"/>
    <hyperlink ref="C10" r:id="rId3" xr:uid="{00000000-0004-0000-0200-000002000000}"/>
    <hyperlink ref="C11" r:id="rId4" xr:uid="{00000000-0004-0000-0200-000003000000}"/>
    <hyperlink ref="C12" r:id="rId5" xr:uid="{00000000-0004-0000-0200-000004000000}"/>
  </hyperlink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Henrique de Sousa Silva</cp:lastModifiedBy>
  <cp:revision>0</cp:revision>
  <dcterms:created xsi:type="dcterms:W3CDTF">2026-10-08T23:20:27Z</dcterms:created>
  <dcterms:modified xsi:type="dcterms:W3CDTF">2026-10-09T00:09:54Z</dcterms:modified>
  <cp:category/>
  <cp:contentStatus/>
</cp:coreProperties>
</file>